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P2020362\전달사항\김승오\맨홀\"/>
    </mc:Choice>
  </mc:AlternateContent>
  <xr:revisionPtr revIDLastSave="0" documentId="13_ncr:1_{449A6E9E-A55D-4AFC-8021-8FBFEF80DB79}" xr6:coauthVersionLast="47" xr6:coauthVersionMax="47" xr10:uidLastSave="{00000000-0000-0000-0000-000000000000}"/>
  <bookViews>
    <workbookView xWindow="-120" yWindow="-120" windowWidth="29040" windowHeight="15720" xr2:uid="{57F737DC-9A24-46CC-9D64-59E01DB73795}"/>
  </bookViews>
  <sheets>
    <sheet name="1호선" sheetId="1" r:id="rId1"/>
    <sheet name="2호선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4" i="2" l="1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3" i="2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3" i="1"/>
</calcChain>
</file>

<file path=xl/sharedStrings.xml><?xml version="1.0" encoding="utf-8"?>
<sst xmlns="http://schemas.openxmlformats.org/spreadsheetml/2006/main" count="904" uniqueCount="35">
  <si>
    <t>구간</t>
    <phoneticPr fontId="1" type="noConversion"/>
  </si>
  <si>
    <t>월배기지</t>
    <phoneticPr fontId="1" type="noConversion"/>
  </si>
  <si>
    <t>번호</t>
    <phoneticPr fontId="1" type="noConversion"/>
  </si>
  <si>
    <t>서부정류장</t>
    <phoneticPr fontId="1" type="noConversion"/>
  </si>
  <si>
    <t>연번</t>
    <phoneticPr fontId="1" type="noConversion"/>
  </si>
  <si>
    <t>반월당</t>
    <phoneticPr fontId="1" type="noConversion"/>
  </si>
  <si>
    <t>신천</t>
    <phoneticPr fontId="1" type="noConversion"/>
  </si>
  <si>
    <t>방촌</t>
    <phoneticPr fontId="1" type="noConversion"/>
  </si>
  <si>
    <t>안심</t>
    <phoneticPr fontId="1" type="noConversion"/>
  </si>
  <si>
    <t>숙천</t>
    <phoneticPr fontId="1" type="noConversion"/>
  </si>
  <si>
    <t>금락</t>
    <phoneticPr fontId="1" type="noConversion"/>
  </si>
  <si>
    <t>문양</t>
    <phoneticPr fontId="1" type="noConversion"/>
  </si>
  <si>
    <t>대실</t>
    <phoneticPr fontId="1" type="noConversion"/>
  </si>
  <si>
    <t>성서산단</t>
    <phoneticPr fontId="1" type="noConversion"/>
  </si>
  <si>
    <t>죽전</t>
    <phoneticPr fontId="1" type="noConversion"/>
  </si>
  <si>
    <t>반고개</t>
    <phoneticPr fontId="1" type="noConversion"/>
  </si>
  <si>
    <t>만촌</t>
    <phoneticPr fontId="1" type="noConversion"/>
  </si>
  <si>
    <t>대공원</t>
    <phoneticPr fontId="1" type="noConversion"/>
  </si>
  <si>
    <t>보수</t>
    <phoneticPr fontId="1" type="noConversion"/>
  </si>
  <si>
    <t>수위</t>
    <phoneticPr fontId="1" type="noConversion"/>
  </si>
  <si>
    <t>비고</t>
    <phoneticPr fontId="1" type="noConversion"/>
  </si>
  <si>
    <t>O</t>
    <phoneticPr fontId="1" type="noConversion"/>
  </si>
  <si>
    <t>침수</t>
    <phoneticPr fontId="1" type="noConversion"/>
  </si>
  <si>
    <t>등급</t>
    <phoneticPr fontId="1" type="noConversion"/>
  </si>
  <si>
    <t>B</t>
    <phoneticPr fontId="1" type="noConversion"/>
  </si>
  <si>
    <t>A</t>
    <phoneticPr fontId="1" type="noConversion"/>
  </si>
  <si>
    <t>C</t>
    <phoneticPr fontId="1" type="noConversion"/>
  </si>
  <si>
    <t>관로구방수장치 보수필요</t>
    <phoneticPr fontId="1" type="noConversion"/>
  </si>
  <si>
    <t>접속제 침수</t>
    <phoneticPr fontId="1" type="noConversion"/>
  </si>
  <si>
    <t>부분보수필요</t>
    <phoneticPr fontId="1" type="noConversion"/>
  </si>
  <si>
    <t>접속제침수</t>
    <phoneticPr fontId="1" type="noConversion"/>
  </si>
  <si>
    <t>보수횟수</t>
    <phoneticPr fontId="1" type="noConversion"/>
  </si>
  <si>
    <t>접속제 침수(수위추정)</t>
  </si>
  <si>
    <t>관로구방수장치 보수필요 / 접속제 침수(수위추정)</t>
  </si>
  <si>
    <t>부분보수필요 / 접속제 침수(수위추정)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</si>
</sst>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DEAF-93BD-4EC1-B3F2-0FA8AB8964AF}">
  <dimension ref="A1:AQ83"/>
  <sheetViews>
    <sheetView tabSelected="1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6.5" x14ac:dyDescent="0.3"/>
  <cols>
    <col min="1" max="1" width="5.25" style="1" bestFit="1" customWidth="1"/>
    <col min="2" max="2" width="11" style="1" bestFit="1" customWidth="1"/>
    <col min="3" max="3" width="5.25" style="1" bestFit="1" customWidth="1"/>
    <col min="4" max="4" width="5.25" style="9" bestFit="1" customWidth="1"/>
    <col min="5" max="5" width="5.25" style="4" bestFit="1" customWidth="1"/>
    <col min="6" max="6" width="5.25" style="5" bestFit="1" customWidth="1"/>
    <col min="7" max="7" width="5.25" style="9" bestFit="1" customWidth="1"/>
    <col min="8" max="8" width="5.25" style="4" bestFit="1" customWidth="1"/>
    <col min="9" max="9" width="5.25" style="5" bestFit="1" customWidth="1"/>
    <col min="10" max="12" width="5.25" style="1" customWidth="1"/>
    <col min="13" max="13" width="5.25" style="9" bestFit="1" customWidth="1"/>
    <col min="14" max="14" width="5.25" style="4" bestFit="1" customWidth="1"/>
    <col min="15" max="15" width="5.25" style="5" bestFit="1" customWidth="1"/>
    <col min="16" max="16" width="5.25" style="9" bestFit="1" customWidth="1"/>
    <col min="17" max="17" width="5.5" style="4" bestFit="1" customWidth="1"/>
    <col min="18" max="18" width="5.25" style="5" bestFit="1" customWidth="1"/>
    <col min="19" max="19" width="5.25" style="1" bestFit="1" customWidth="1"/>
    <col min="20" max="20" width="5.5" style="1" bestFit="1" customWidth="1"/>
    <col min="21" max="21" width="5.25" style="1" bestFit="1" customWidth="1"/>
    <col min="22" max="22" width="24.125" style="1" bestFit="1" customWidth="1"/>
    <col min="23" max="23" width="5.25" style="9" bestFit="1" customWidth="1"/>
    <col min="24" max="24" width="5.5" style="4" bestFit="1" customWidth="1"/>
    <col min="25" max="25" width="5.25" style="4" bestFit="1" customWidth="1"/>
    <col min="26" max="26" width="24.125" style="5" bestFit="1" customWidth="1"/>
    <col min="27" max="27" width="9" style="9"/>
    <col min="28" max="29" width="9" style="4"/>
    <col min="30" max="30" width="24.125" style="5" bestFit="1" customWidth="1"/>
    <col min="31" max="31" width="9" style="9"/>
    <col min="32" max="33" width="9" style="4"/>
    <col min="34" max="34" width="9" style="5"/>
    <col min="35" max="35" width="9" style="9"/>
    <col min="36" max="37" width="9" style="4"/>
    <col min="38" max="38" width="9" style="5"/>
    <col min="39" max="39" width="9" style="9"/>
    <col min="40" max="41" width="9" style="4"/>
    <col min="42" max="42" width="9" style="5"/>
    <col min="43" max="16384" width="9" style="1"/>
  </cols>
  <sheetData>
    <row r="1" spans="1:43" x14ac:dyDescent="0.3">
      <c r="D1" s="6">
        <v>2014</v>
      </c>
      <c r="E1" s="7"/>
      <c r="F1" s="8"/>
      <c r="G1" s="6">
        <v>2016</v>
      </c>
      <c r="H1" s="7"/>
      <c r="I1" s="8"/>
      <c r="J1" s="2">
        <v>2017</v>
      </c>
      <c r="K1" s="2"/>
      <c r="L1" s="2"/>
      <c r="M1" s="6">
        <v>2018</v>
      </c>
      <c r="N1" s="7"/>
      <c r="O1" s="8"/>
      <c r="P1" s="6">
        <v>2019</v>
      </c>
      <c r="Q1" s="7"/>
      <c r="R1" s="8"/>
      <c r="S1" s="2">
        <v>2020</v>
      </c>
      <c r="T1" s="2"/>
      <c r="U1" s="2"/>
      <c r="V1" s="2"/>
      <c r="W1" s="6">
        <v>2021</v>
      </c>
      <c r="X1" s="7"/>
      <c r="Y1" s="7"/>
      <c r="Z1" s="8"/>
      <c r="AA1" s="6">
        <v>2022</v>
      </c>
      <c r="AB1" s="7"/>
      <c r="AC1" s="7"/>
      <c r="AD1" s="8"/>
      <c r="AE1" s="6">
        <v>2023</v>
      </c>
      <c r="AF1" s="7"/>
      <c r="AG1" s="7"/>
      <c r="AH1" s="8"/>
      <c r="AI1" s="6">
        <v>2024</v>
      </c>
      <c r="AJ1" s="7"/>
      <c r="AK1" s="7"/>
      <c r="AL1" s="8"/>
      <c r="AM1" s="6">
        <v>2025</v>
      </c>
      <c r="AN1" s="7"/>
      <c r="AO1" s="7"/>
      <c r="AP1" s="8"/>
    </row>
    <row r="2" spans="1:43" x14ac:dyDescent="0.3">
      <c r="A2" s="1" t="s">
        <v>4</v>
      </c>
      <c r="B2" s="1" t="s">
        <v>0</v>
      </c>
      <c r="C2" s="1" t="s">
        <v>2</v>
      </c>
      <c r="D2" s="9" t="s">
        <v>18</v>
      </c>
      <c r="E2" s="4" t="s">
        <v>19</v>
      </c>
      <c r="F2" s="5" t="s">
        <v>20</v>
      </c>
      <c r="G2" s="9" t="s">
        <v>18</v>
      </c>
      <c r="H2" s="4" t="s">
        <v>19</v>
      </c>
      <c r="I2" s="5" t="s">
        <v>20</v>
      </c>
      <c r="J2" s="1" t="s">
        <v>18</v>
      </c>
      <c r="K2" s="1" t="s">
        <v>19</v>
      </c>
      <c r="L2" s="1" t="s">
        <v>20</v>
      </c>
      <c r="M2" s="9" t="s">
        <v>18</v>
      </c>
      <c r="N2" s="4" t="s">
        <v>19</v>
      </c>
      <c r="O2" s="5" t="s">
        <v>20</v>
      </c>
      <c r="P2" s="9" t="s">
        <v>18</v>
      </c>
      <c r="Q2" s="4" t="s">
        <v>19</v>
      </c>
      <c r="R2" s="5" t="s">
        <v>20</v>
      </c>
      <c r="S2" s="1" t="s">
        <v>18</v>
      </c>
      <c r="T2" s="1" t="s">
        <v>19</v>
      </c>
      <c r="U2" s="1" t="s">
        <v>23</v>
      </c>
      <c r="V2" s="1" t="s">
        <v>20</v>
      </c>
      <c r="W2" s="9" t="s">
        <v>18</v>
      </c>
      <c r="X2" s="4" t="s">
        <v>19</v>
      </c>
      <c r="Y2" s="4" t="s">
        <v>23</v>
      </c>
      <c r="Z2" s="5" t="s">
        <v>20</v>
      </c>
      <c r="AA2" s="9" t="s">
        <v>18</v>
      </c>
      <c r="AB2" s="4" t="s">
        <v>19</v>
      </c>
      <c r="AC2" s="4" t="s">
        <v>23</v>
      </c>
      <c r="AD2" s="5" t="s">
        <v>20</v>
      </c>
      <c r="AE2" s="9" t="s">
        <v>18</v>
      </c>
      <c r="AF2" s="4" t="s">
        <v>19</v>
      </c>
      <c r="AG2" s="4" t="s">
        <v>23</v>
      </c>
      <c r="AH2" s="5" t="s">
        <v>20</v>
      </c>
      <c r="AI2" s="9" t="s">
        <v>18</v>
      </c>
      <c r="AJ2" s="4" t="s">
        <v>19</v>
      </c>
      <c r="AK2" s="4" t="s">
        <v>23</v>
      </c>
      <c r="AL2" s="5" t="s">
        <v>20</v>
      </c>
      <c r="AM2" s="9" t="s">
        <v>18</v>
      </c>
      <c r="AN2" s="4" t="s">
        <v>19</v>
      </c>
      <c r="AO2" s="4" t="s">
        <v>23</v>
      </c>
      <c r="AP2" s="5" t="s">
        <v>20</v>
      </c>
      <c r="AQ2" s="1" t="s">
        <v>31</v>
      </c>
    </row>
    <row r="3" spans="1:43" x14ac:dyDescent="0.3">
      <c r="A3" s="1">
        <v>1</v>
      </c>
      <c r="B3" s="1" t="s">
        <v>1</v>
      </c>
      <c r="C3" s="1">
        <v>1</v>
      </c>
      <c r="Q3" s="4">
        <v>200</v>
      </c>
      <c r="T3" s="1">
        <v>300</v>
      </c>
      <c r="U3" s="1" t="s">
        <v>24</v>
      </c>
      <c r="V3" s="1" t="s">
        <v>27</v>
      </c>
      <c r="X3" s="4">
        <v>300</v>
      </c>
      <c r="Y3" s="4" t="s">
        <v>24</v>
      </c>
      <c r="Z3" s="5" t="s">
        <v>27</v>
      </c>
      <c r="AB3" s="4">
        <v>300</v>
      </c>
      <c r="AC3" s="4" t="s">
        <v>24</v>
      </c>
      <c r="AD3" s="5" t="s">
        <v>27</v>
      </c>
      <c r="AF3" s="4">
        <v>400</v>
      </c>
      <c r="AJ3" s="4">
        <v>300</v>
      </c>
      <c r="AN3" s="4">
        <v>400</v>
      </c>
      <c r="AQ3" s="1">
        <f>COUNTA(AM3,AI3,AE3,AA3,W3,S3,P3,M3,J3,G3,D3)</f>
        <v>0</v>
      </c>
    </row>
    <row r="4" spans="1:43" x14ac:dyDescent="0.3">
      <c r="A4" s="1">
        <v>2</v>
      </c>
      <c r="B4" s="1" t="s">
        <v>1</v>
      </c>
      <c r="C4" s="1">
        <v>2</v>
      </c>
      <c r="Q4" s="4">
        <v>500</v>
      </c>
      <c r="T4" s="1">
        <v>500</v>
      </c>
      <c r="U4" s="1" t="s">
        <v>25</v>
      </c>
      <c r="X4" s="4">
        <v>400</v>
      </c>
      <c r="Y4" s="4" t="s">
        <v>25</v>
      </c>
      <c r="AB4" s="4">
        <v>500</v>
      </c>
      <c r="AC4" s="4" t="s">
        <v>25</v>
      </c>
      <c r="AF4" s="4">
        <v>600</v>
      </c>
      <c r="AJ4" s="4">
        <v>500</v>
      </c>
      <c r="AN4" s="4">
        <v>600</v>
      </c>
      <c r="AQ4" s="1">
        <f t="shared" ref="AQ4:AQ67" si="0">COUNTA(AM4,AI4,AE4,AA4,W4,S4,P4,M4,J4,G4,D4)</f>
        <v>0</v>
      </c>
    </row>
    <row r="5" spans="1:43" x14ac:dyDescent="0.3">
      <c r="A5" s="1">
        <v>3</v>
      </c>
      <c r="B5" s="1" t="s">
        <v>1</v>
      </c>
      <c r="C5" s="1">
        <v>3</v>
      </c>
      <c r="Q5" s="4">
        <v>1400</v>
      </c>
      <c r="R5" s="5" t="s">
        <v>22</v>
      </c>
      <c r="T5" s="1">
        <v>1400</v>
      </c>
      <c r="U5" s="1" t="s">
        <v>24</v>
      </c>
      <c r="V5" s="1" t="s">
        <v>28</v>
      </c>
      <c r="X5" s="4">
        <v>1400</v>
      </c>
      <c r="Y5" s="4" t="s">
        <v>24</v>
      </c>
      <c r="Z5" s="5" t="s">
        <v>28</v>
      </c>
      <c r="AB5" s="4">
        <v>1800</v>
      </c>
      <c r="AC5" s="4" t="s">
        <v>24</v>
      </c>
      <c r="AD5" s="5" t="s">
        <v>33</v>
      </c>
      <c r="AE5" s="9" t="s">
        <v>21</v>
      </c>
      <c r="AF5" s="4">
        <v>900</v>
      </c>
      <c r="AJ5" s="4">
        <v>1400</v>
      </c>
      <c r="AL5" s="5" t="s">
        <v>32</v>
      </c>
      <c r="AN5" s="4">
        <v>900</v>
      </c>
      <c r="AQ5" s="1">
        <f t="shared" si="0"/>
        <v>1</v>
      </c>
    </row>
    <row r="6" spans="1:43" x14ac:dyDescent="0.3">
      <c r="A6" s="1">
        <v>4</v>
      </c>
      <c r="B6" s="1" t="s">
        <v>1</v>
      </c>
      <c r="C6" s="1">
        <v>4</v>
      </c>
      <c r="Q6" s="4">
        <v>700</v>
      </c>
      <c r="T6" s="1">
        <v>400</v>
      </c>
      <c r="U6" s="1" t="s">
        <v>24</v>
      </c>
      <c r="V6" s="1" t="s">
        <v>27</v>
      </c>
      <c r="X6" s="4">
        <v>450</v>
      </c>
      <c r="Y6" s="4" t="s">
        <v>24</v>
      </c>
      <c r="Z6" s="5" t="s">
        <v>27</v>
      </c>
      <c r="AB6" s="4">
        <v>700</v>
      </c>
      <c r="AC6" s="4" t="s">
        <v>25</v>
      </c>
      <c r="AF6" s="4">
        <v>800</v>
      </c>
      <c r="AJ6" s="4">
        <v>700</v>
      </c>
      <c r="AN6" s="4">
        <v>800</v>
      </c>
      <c r="AQ6" s="1">
        <f t="shared" si="0"/>
        <v>0</v>
      </c>
    </row>
    <row r="7" spans="1:43" x14ac:dyDescent="0.3">
      <c r="A7" s="1">
        <v>5</v>
      </c>
      <c r="B7" s="1" t="s">
        <v>1</v>
      </c>
      <c r="C7" s="1">
        <v>5</v>
      </c>
      <c r="Q7" s="4">
        <v>200</v>
      </c>
      <c r="T7" s="1">
        <v>200</v>
      </c>
      <c r="U7" s="1" t="s">
        <v>25</v>
      </c>
      <c r="X7" s="4">
        <v>200</v>
      </c>
      <c r="Y7" s="4" t="s">
        <v>24</v>
      </c>
      <c r="Z7" s="5" t="s">
        <v>27</v>
      </c>
      <c r="AB7" s="4">
        <v>300</v>
      </c>
      <c r="AC7" s="4" t="s">
        <v>25</v>
      </c>
      <c r="AF7" s="4">
        <v>400</v>
      </c>
      <c r="AJ7" s="4">
        <v>300</v>
      </c>
      <c r="AN7" s="4">
        <v>400</v>
      </c>
      <c r="AQ7" s="1">
        <f t="shared" si="0"/>
        <v>0</v>
      </c>
    </row>
    <row r="8" spans="1:43" x14ac:dyDescent="0.3">
      <c r="A8" s="1">
        <v>6</v>
      </c>
      <c r="B8" s="1" t="s">
        <v>1</v>
      </c>
      <c r="C8" s="1">
        <v>6</v>
      </c>
      <c r="Q8" s="4">
        <v>600</v>
      </c>
      <c r="T8" s="1">
        <v>300</v>
      </c>
      <c r="U8" s="1" t="s">
        <v>25</v>
      </c>
      <c r="X8" s="4">
        <v>300</v>
      </c>
      <c r="Y8" s="4" t="s">
        <v>25</v>
      </c>
      <c r="AB8" s="4">
        <v>300</v>
      </c>
      <c r="AC8" s="4" t="s">
        <v>24</v>
      </c>
      <c r="AD8" s="5" t="s">
        <v>27</v>
      </c>
      <c r="AF8" s="4">
        <v>1300</v>
      </c>
      <c r="AJ8" s="4">
        <v>600</v>
      </c>
      <c r="AN8" s="4">
        <v>1300</v>
      </c>
      <c r="AQ8" s="1">
        <f t="shared" si="0"/>
        <v>0</v>
      </c>
    </row>
    <row r="9" spans="1:43" x14ac:dyDescent="0.3">
      <c r="A9" s="1">
        <v>7</v>
      </c>
      <c r="B9" s="1" t="s">
        <v>1</v>
      </c>
      <c r="C9" s="1">
        <v>7</v>
      </c>
      <c r="Q9" s="4">
        <v>50</v>
      </c>
      <c r="T9" s="1">
        <v>100</v>
      </c>
      <c r="U9" s="1" t="s">
        <v>26</v>
      </c>
      <c r="X9" s="4">
        <v>100</v>
      </c>
      <c r="Y9" s="4" t="s">
        <v>24</v>
      </c>
      <c r="Z9" s="5" t="s">
        <v>27</v>
      </c>
      <c r="AB9" s="4">
        <v>100</v>
      </c>
      <c r="AC9" s="4" t="s">
        <v>25</v>
      </c>
      <c r="AF9" s="4">
        <v>300</v>
      </c>
      <c r="AJ9" s="4">
        <v>200</v>
      </c>
      <c r="AN9" s="4">
        <v>300</v>
      </c>
      <c r="AQ9" s="1">
        <f t="shared" si="0"/>
        <v>0</v>
      </c>
    </row>
    <row r="10" spans="1:43" x14ac:dyDescent="0.3">
      <c r="A10" s="1">
        <v>8</v>
      </c>
      <c r="B10" s="1" t="s">
        <v>3</v>
      </c>
      <c r="C10" s="1">
        <v>1</v>
      </c>
      <c r="Q10" s="4">
        <v>600</v>
      </c>
      <c r="T10" s="1">
        <v>700</v>
      </c>
      <c r="U10" s="1" t="s">
        <v>25</v>
      </c>
      <c r="X10" s="4">
        <v>700</v>
      </c>
      <c r="Y10" s="4" t="s">
        <v>25</v>
      </c>
      <c r="AB10" s="4">
        <v>700</v>
      </c>
      <c r="AC10" s="4" t="s">
        <v>25</v>
      </c>
      <c r="AF10" s="4">
        <v>900</v>
      </c>
      <c r="AJ10" s="4">
        <v>800</v>
      </c>
      <c r="AM10" s="9" t="s">
        <v>21</v>
      </c>
      <c r="AN10" s="4">
        <v>900</v>
      </c>
      <c r="AQ10" s="1">
        <f t="shared" si="0"/>
        <v>1</v>
      </c>
    </row>
    <row r="11" spans="1:43" x14ac:dyDescent="0.3">
      <c r="A11" s="1">
        <v>9</v>
      </c>
      <c r="B11" s="1" t="s">
        <v>3</v>
      </c>
      <c r="C11" s="1">
        <v>2</v>
      </c>
      <c r="Q11" s="4">
        <v>1900</v>
      </c>
      <c r="R11" s="5" t="s">
        <v>22</v>
      </c>
      <c r="T11" s="1">
        <v>100</v>
      </c>
      <c r="U11" s="1" t="s">
        <v>25</v>
      </c>
      <c r="X11" s="4">
        <v>100</v>
      </c>
      <c r="Y11" s="4" t="s">
        <v>25</v>
      </c>
      <c r="AB11" s="4">
        <v>100</v>
      </c>
      <c r="AC11" s="4" t="s">
        <v>25</v>
      </c>
      <c r="AF11" s="4">
        <v>300</v>
      </c>
      <c r="AJ11" s="4">
        <v>200</v>
      </c>
      <c r="AM11" s="9" t="s">
        <v>21</v>
      </c>
      <c r="AN11" s="4">
        <v>300</v>
      </c>
      <c r="AQ11" s="1">
        <f t="shared" si="0"/>
        <v>1</v>
      </c>
    </row>
    <row r="12" spans="1:43" x14ac:dyDescent="0.3">
      <c r="A12" s="1">
        <v>10</v>
      </c>
      <c r="B12" s="1" t="s">
        <v>3</v>
      </c>
      <c r="C12" s="1">
        <v>3</v>
      </c>
      <c r="Q12" s="4">
        <v>2000</v>
      </c>
      <c r="R12" s="5" t="s">
        <v>22</v>
      </c>
      <c r="T12" s="1">
        <v>2400</v>
      </c>
      <c r="U12" s="1" t="s">
        <v>24</v>
      </c>
      <c r="V12" s="1" t="s">
        <v>28</v>
      </c>
      <c r="X12" s="4">
        <v>2300</v>
      </c>
      <c r="Y12" s="4" t="s">
        <v>24</v>
      </c>
      <c r="Z12" s="5" t="s">
        <v>28</v>
      </c>
      <c r="AB12" s="4">
        <v>2100</v>
      </c>
      <c r="AC12" s="4" t="s">
        <v>24</v>
      </c>
      <c r="AD12" s="5" t="s">
        <v>30</v>
      </c>
      <c r="AF12" s="4">
        <v>600</v>
      </c>
      <c r="AJ12" s="4">
        <v>1700</v>
      </c>
      <c r="AN12" s="4">
        <v>600</v>
      </c>
      <c r="AQ12" s="1">
        <f t="shared" si="0"/>
        <v>0</v>
      </c>
    </row>
    <row r="13" spans="1:43" x14ac:dyDescent="0.3">
      <c r="A13" s="1">
        <v>11</v>
      </c>
      <c r="B13" s="1" t="s">
        <v>3</v>
      </c>
      <c r="C13" s="1">
        <v>4</v>
      </c>
      <c r="Q13" s="4">
        <v>400</v>
      </c>
      <c r="T13" s="1">
        <v>100</v>
      </c>
      <c r="U13" s="1" t="s">
        <v>25</v>
      </c>
      <c r="X13" s="4">
        <v>100</v>
      </c>
      <c r="Y13" s="4" t="s">
        <v>25</v>
      </c>
      <c r="AB13" s="4">
        <v>0</v>
      </c>
      <c r="AC13" s="4" t="s">
        <v>25</v>
      </c>
      <c r="AF13" s="4">
        <v>200</v>
      </c>
      <c r="AJ13" s="4">
        <v>100</v>
      </c>
      <c r="AN13" s="4">
        <v>200</v>
      </c>
      <c r="AQ13" s="1">
        <f t="shared" si="0"/>
        <v>0</v>
      </c>
    </row>
    <row r="14" spans="1:43" x14ac:dyDescent="0.3">
      <c r="A14" s="1">
        <v>12</v>
      </c>
      <c r="B14" s="1" t="s">
        <v>3</v>
      </c>
      <c r="C14" s="1">
        <v>5</v>
      </c>
      <c r="Q14" s="4">
        <v>1500</v>
      </c>
      <c r="T14" s="1">
        <v>900</v>
      </c>
      <c r="U14" s="1" t="s">
        <v>25</v>
      </c>
      <c r="X14" s="4">
        <v>900</v>
      </c>
      <c r="Y14" s="4" t="s">
        <v>25</v>
      </c>
      <c r="AB14" s="4">
        <v>700</v>
      </c>
      <c r="AC14" s="4" t="s">
        <v>25</v>
      </c>
      <c r="AF14" s="4">
        <v>1300</v>
      </c>
      <c r="AJ14" s="4">
        <v>1000</v>
      </c>
      <c r="AN14" s="4">
        <v>1300</v>
      </c>
      <c r="AQ14" s="1">
        <f t="shared" si="0"/>
        <v>0</v>
      </c>
    </row>
    <row r="15" spans="1:43" x14ac:dyDescent="0.3">
      <c r="A15" s="1">
        <v>13</v>
      </c>
      <c r="B15" s="1" t="s">
        <v>3</v>
      </c>
      <c r="C15" s="1">
        <v>6</v>
      </c>
      <c r="Q15" s="4">
        <v>2200</v>
      </c>
      <c r="R15" s="5" t="s">
        <v>22</v>
      </c>
      <c r="S15" s="1" t="s">
        <v>21</v>
      </c>
      <c r="T15" s="1">
        <v>2500</v>
      </c>
      <c r="U15" s="1" t="s">
        <v>24</v>
      </c>
      <c r="V15" s="1" t="s">
        <v>28</v>
      </c>
      <c r="X15" s="4">
        <v>2400</v>
      </c>
      <c r="Y15" s="4" t="s">
        <v>24</v>
      </c>
      <c r="Z15" s="5" t="s">
        <v>28</v>
      </c>
      <c r="AB15" s="4">
        <v>2400</v>
      </c>
      <c r="AC15" s="4" t="s">
        <v>24</v>
      </c>
      <c r="AD15" s="5" t="s">
        <v>30</v>
      </c>
      <c r="AF15" s="4">
        <v>1800</v>
      </c>
      <c r="AJ15" s="4">
        <v>2200</v>
      </c>
      <c r="AL15" s="5" t="s">
        <v>32</v>
      </c>
      <c r="AN15" s="4">
        <v>1800</v>
      </c>
      <c r="AQ15" s="1">
        <f t="shared" si="0"/>
        <v>1</v>
      </c>
    </row>
    <row r="16" spans="1:43" x14ac:dyDescent="0.3">
      <c r="A16" s="1">
        <v>14</v>
      </c>
      <c r="B16" s="1" t="s">
        <v>3</v>
      </c>
      <c r="C16" s="1">
        <v>7</v>
      </c>
      <c r="D16" s="9" t="s">
        <v>21</v>
      </c>
      <c r="Q16" s="4">
        <v>300</v>
      </c>
      <c r="T16" s="1">
        <v>500</v>
      </c>
      <c r="U16" s="1" t="s">
        <v>25</v>
      </c>
      <c r="X16" s="4">
        <v>200</v>
      </c>
      <c r="Y16" s="4" t="s">
        <v>25</v>
      </c>
      <c r="AB16" s="4">
        <v>100</v>
      </c>
      <c r="AC16" s="4" t="s">
        <v>25</v>
      </c>
      <c r="AF16" s="4">
        <v>700</v>
      </c>
      <c r="AJ16" s="4">
        <v>300</v>
      </c>
      <c r="AN16" s="4">
        <v>700</v>
      </c>
      <c r="AQ16" s="1">
        <f t="shared" si="0"/>
        <v>1</v>
      </c>
    </row>
    <row r="17" spans="1:43" x14ac:dyDescent="0.3">
      <c r="A17" s="1">
        <v>15</v>
      </c>
      <c r="B17" s="1" t="s">
        <v>3</v>
      </c>
      <c r="C17" s="1">
        <v>8</v>
      </c>
      <c r="D17" s="9" t="s">
        <v>21</v>
      </c>
      <c r="Q17" s="4">
        <v>2300</v>
      </c>
      <c r="R17" s="5" t="s">
        <v>22</v>
      </c>
      <c r="T17" s="1">
        <v>1100</v>
      </c>
      <c r="U17" s="1" t="s">
        <v>24</v>
      </c>
      <c r="V17" s="1" t="s">
        <v>28</v>
      </c>
      <c r="X17" s="4">
        <v>900</v>
      </c>
      <c r="Y17" s="4" t="s">
        <v>25</v>
      </c>
      <c r="AB17" s="4">
        <v>1000</v>
      </c>
      <c r="AC17" s="4" t="s">
        <v>24</v>
      </c>
      <c r="AD17" s="5" t="s">
        <v>30</v>
      </c>
      <c r="AF17" s="4">
        <v>1600</v>
      </c>
      <c r="AH17" s="5" t="s">
        <v>32</v>
      </c>
      <c r="AJ17" s="4">
        <v>1200</v>
      </c>
      <c r="AL17" s="5" t="s">
        <v>32</v>
      </c>
      <c r="AN17" s="4">
        <v>1600</v>
      </c>
      <c r="AP17" s="5" t="s">
        <v>32</v>
      </c>
      <c r="AQ17" s="1">
        <f t="shared" si="0"/>
        <v>1</v>
      </c>
    </row>
    <row r="18" spans="1:43" x14ac:dyDescent="0.3">
      <c r="A18" s="1">
        <v>16</v>
      </c>
      <c r="B18" s="1" t="s">
        <v>3</v>
      </c>
      <c r="C18" s="1">
        <v>9</v>
      </c>
      <c r="J18" s="4" t="s">
        <v>21</v>
      </c>
      <c r="P18" s="4" t="s">
        <v>21</v>
      </c>
      <c r="Q18" s="4">
        <v>1100</v>
      </c>
      <c r="R18" s="5" t="s">
        <v>22</v>
      </c>
      <c r="T18" s="1">
        <v>1200</v>
      </c>
      <c r="U18" s="1" t="s">
        <v>24</v>
      </c>
      <c r="V18" s="1" t="s">
        <v>34</v>
      </c>
      <c r="X18" s="4">
        <v>1200</v>
      </c>
      <c r="Y18" s="4" t="s">
        <v>24</v>
      </c>
      <c r="Z18" s="5" t="s">
        <v>34</v>
      </c>
      <c r="AB18" s="4">
        <v>1000</v>
      </c>
      <c r="AC18" s="4" t="s">
        <v>24</v>
      </c>
      <c r="AD18" s="5" t="s">
        <v>30</v>
      </c>
      <c r="AE18" s="9" t="s">
        <v>21</v>
      </c>
      <c r="AF18" s="4">
        <v>500</v>
      </c>
      <c r="AJ18" s="4">
        <v>900</v>
      </c>
      <c r="AN18" s="4">
        <v>500</v>
      </c>
      <c r="AQ18" s="1">
        <f t="shared" si="0"/>
        <v>3</v>
      </c>
    </row>
    <row r="19" spans="1:43" x14ac:dyDescent="0.3">
      <c r="A19" s="1">
        <v>17</v>
      </c>
      <c r="B19" s="1" t="s">
        <v>5</v>
      </c>
      <c r="C19" s="1">
        <v>1</v>
      </c>
      <c r="Q19" s="4">
        <v>0</v>
      </c>
      <c r="T19" s="1">
        <v>0</v>
      </c>
      <c r="U19" s="1" t="s">
        <v>25</v>
      </c>
      <c r="X19" s="4">
        <v>0</v>
      </c>
      <c r="Y19" s="4" t="s">
        <v>25</v>
      </c>
      <c r="AB19" s="4">
        <v>0</v>
      </c>
      <c r="AC19" s="4" t="s">
        <v>25</v>
      </c>
      <c r="AF19" s="4">
        <v>900</v>
      </c>
      <c r="AJ19" s="4">
        <v>300</v>
      </c>
      <c r="AN19" s="4">
        <v>900</v>
      </c>
      <c r="AQ19" s="1">
        <f t="shared" si="0"/>
        <v>0</v>
      </c>
    </row>
    <row r="20" spans="1:43" x14ac:dyDescent="0.3">
      <c r="A20" s="1">
        <v>18</v>
      </c>
      <c r="B20" s="1" t="s">
        <v>5</v>
      </c>
      <c r="C20" s="1">
        <v>2</v>
      </c>
      <c r="Q20" s="4">
        <v>1100</v>
      </c>
      <c r="T20" s="1">
        <v>700</v>
      </c>
      <c r="U20" s="1" t="s">
        <v>25</v>
      </c>
      <c r="X20" s="4">
        <v>600</v>
      </c>
      <c r="Y20" s="4" t="s">
        <v>25</v>
      </c>
      <c r="AB20" s="4">
        <v>1000</v>
      </c>
      <c r="AC20" s="4" t="s">
        <v>25</v>
      </c>
      <c r="AF20" s="4">
        <v>900</v>
      </c>
      <c r="AJ20" s="4">
        <v>800</v>
      </c>
      <c r="AN20" s="4">
        <v>900</v>
      </c>
      <c r="AQ20" s="1">
        <f t="shared" si="0"/>
        <v>0</v>
      </c>
    </row>
    <row r="21" spans="1:43" x14ac:dyDescent="0.3">
      <c r="A21" s="1">
        <v>19</v>
      </c>
      <c r="B21" s="1" t="s">
        <v>5</v>
      </c>
      <c r="C21" s="1">
        <v>3</v>
      </c>
      <c r="Q21" s="4">
        <v>900</v>
      </c>
      <c r="R21" s="5" t="s">
        <v>22</v>
      </c>
      <c r="T21" s="1">
        <v>900</v>
      </c>
      <c r="U21" s="1" t="s">
        <v>24</v>
      </c>
      <c r="V21" s="1" t="s">
        <v>28</v>
      </c>
      <c r="X21" s="4">
        <v>400</v>
      </c>
      <c r="Y21" s="4" t="s">
        <v>25</v>
      </c>
      <c r="AB21" s="4">
        <v>0</v>
      </c>
      <c r="AC21" s="4" t="s">
        <v>25</v>
      </c>
      <c r="AF21" s="4">
        <v>1000</v>
      </c>
      <c r="AH21" s="1" t="s">
        <v>32</v>
      </c>
      <c r="AJ21" s="4">
        <v>500</v>
      </c>
      <c r="AN21" s="4">
        <v>1000</v>
      </c>
      <c r="AP21" s="1" t="s">
        <v>32</v>
      </c>
      <c r="AQ21" s="1">
        <f t="shared" si="0"/>
        <v>0</v>
      </c>
    </row>
    <row r="22" spans="1:43" x14ac:dyDescent="0.3">
      <c r="A22" s="1">
        <v>20</v>
      </c>
      <c r="B22" s="1" t="s">
        <v>5</v>
      </c>
      <c r="C22" s="1">
        <v>4</v>
      </c>
      <c r="Q22" s="4">
        <v>100</v>
      </c>
      <c r="T22" s="1">
        <v>100</v>
      </c>
      <c r="U22" s="1" t="s">
        <v>25</v>
      </c>
      <c r="X22" s="4">
        <v>600</v>
      </c>
      <c r="Y22" s="4" t="s">
        <v>25</v>
      </c>
      <c r="AA22" s="9" t="s">
        <v>21</v>
      </c>
      <c r="AB22" s="4">
        <v>400</v>
      </c>
      <c r="AC22" s="4" t="s">
        <v>25</v>
      </c>
      <c r="AF22" s="4">
        <v>900</v>
      </c>
      <c r="AJ22" s="4">
        <v>600</v>
      </c>
      <c r="AN22" s="4">
        <v>900</v>
      </c>
      <c r="AQ22" s="1">
        <f t="shared" si="0"/>
        <v>1</v>
      </c>
    </row>
    <row r="23" spans="1:43" x14ac:dyDescent="0.3">
      <c r="A23" s="1">
        <v>21</v>
      </c>
      <c r="B23" s="1" t="s">
        <v>6</v>
      </c>
      <c r="C23" s="1">
        <v>1</v>
      </c>
      <c r="Q23" s="4">
        <v>1200</v>
      </c>
      <c r="R23" s="5" t="s">
        <v>22</v>
      </c>
      <c r="T23" s="1">
        <v>1400</v>
      </c>
      <c r="U23" s="1" t="s">
        <v>24</v>
      </c>
      <c r="V23" s="1" t="s">
        <v>28</v>
      </c>
      <c r="X23" s="4">
        <v>1300</v>
      </c>
      <c r="Y23" s="4" t="s">
        <v>24</v>
      </c>
      <c r="Z23" s="5" t="s">
        <v>33</v>
      </c>
      <c r="AB23" s="4">
        <v>1500</v>
      </c>
      <c r="AC23" s="4" t="s">
        <v>24</v>
      </c>
      <c r="AD23" s="5" t="s">
        <v>30</v>
      </c>
      <c r="AF23" s="4">
        <v>1400</v>
      </c>
      <c r="AH23" s="5" t="s">
        <v>32</v>
      </c>
      <c r="AJ23" s="4">
        <v>1400</v>
      </c>
      <c r="AL23" s="5" t="s">
        <v>32</v>
      </c>
      <c r="AN23" s="4">
        <v>1400</v>
      </c>
      <c r="AP23" s="5" t="s">
        <v>32</v>
      </c>
      <c r="AQ23" s="1">
        <f t="shared" si="0"/>
        <v>0</v>
      </c>
    </row>
    <row r="24" spans="1:43" x14ac:dyDescent="0.3">
      <c r="A24" s="1">
        <v>22</v>
      </c>
      <c r="B24" s="1" t="s">
        <v>6</v>
      </c>
      <c r="C24" s="1">
        <v>2</v>
      </c>
      <c r="Q24" s="4">
        <v>500</v>
      </c>
      <c r="T24" s="1">
        <v>500</v>
      </c>
      <c r="U24" s="1" t="s">
        <v>25</v>
      </c>
      <c r="X24" s="4">
        <v>600</v>
      </c>
      <c r="Y24" s="4" t="s">
        <v>24</v>
      </c>
      <c r="Z24" s="5" t="s">
        <v>27</v>
      </c>
      <c r="AB24" s="4">
        <v>1000</v>
      </c>
      <c r="AC24" s="4" t="s">
        <v>25</v>
      </c>
      <c r="AF24" s="4">
        <v>1300</v>
      </c>
      <c r="AJ24" s="4">
        <v>1000</v>
      </c>
      <c r="AN24" s="4">
        <v>1300</v>
      </c>
      <c r="AQ24" s="1">
        <f t="shared" si="0"/>
        <v>0</v>
      </c>
    </row>
    <row r="25" spans="1:43" x14ac:dyDescent="0.3">
      <c r="A25" s="1">
        <v>23</v>
      </c>
      <c r="B25" s="1" t="s">
        <v>6</v>
      </c>
      <c r="C25" s="1">
        <v>3</v>
      </c>
      <c r="Q25" s="4">
        <v>100</v>
      </c>
      <c r="T25" s="1">
        <v>200</v>
      </c>
      <c r="U25" s="1" t="s">
        <v>25</v>
      </c>
      <c r="X25" s="4">
        <v>400</v>
      </c>
      <c r="Y25" s="4" t="s">
        <v>25</v>
      </c>
      <c r="AB25" s="4">
        <v>800</v>
      </c>
      <c r="AC25" s="4" t="s">
        <v>25</v>
      </c>
      <c r="AF25" s="4">
        <v>200</v>
      </c>
      <c r="AJ25" s="4">
        <v>500</v>
      </c>
      <c r="AN25" s="4">
        <v>200</v>
      </c>
      <c r="AQ25" s="1">
        <f t="shared" si="0"/>
        <v>0</v>
      </c>
    </row>
    <row r="26" spans="1:43" x14ac:dyDescent="0.3">
      <c r="A26" s="1">
        <v>24</v>
      </c>
      <c r="B26" s="1" t="s">
        <v>6</v>
      </c>
      <c r="C26" s="1">
        <v>4</v>
      </c>
      <c r="Q26" s="4">
        <v>2600</v>
      </c>
      <c r="R26" s="5" t="s">
        <v>22</v>
      </c>
      <c r="S26" s="1" t="s">
        <v>21</v>
      </c>
      <c r="T26" s="1">
        <v>2400</v>
      </c>
      <c r="U26" s="1" t="s">
        <v>24</v>
      </c>
      <c r="V26" s="1" t="s">
        <v>28</v>
      </c>
      <c r="X26" s="4">
        <v>1500</v>
      </c>
      <c r="Y26" s="4" t="s">
        <v>25</v>
      </c>
      <c r="AB26" s="4">
        <v>1000</v>
      </c>
      <c r="AC26" s="4" t="s">
        <v>25</v>
      </c>
      <c r="AF26" s="4">
        <v>1000</v>
      </c>
      <c r="AJ26" s="4">
        <v>1200</v>
      </c>
      <c r="AN26" s="4">
        <v>1000</v>
      </c>
      <c r="AQ26" s="1">
        <f t="shared" si="0"/>
        <v>1</v>
      </c>
    </row>
    <row r="27" spans="1:43" x14ac:dyDescent="0.3">
      <c r="A27" s="1">
        <v>25</v>
      </c>
      <c r="B27" s="1" t="s">
        <v>6</v>
      </c>
      <c r="C27" s="1">
        <v>5</v>
      </c>
      <c r="Q27" s="4">
        <v>2400</v>
      </c>
      <c r="R27" s="5" t="s">
        <v>22</v>
      </c>
      <c r="T27" s="1">
        <v>300</v>
      </c>
      <c r="U27" s="1" t="s">
        <v>25</v>
      </c>
      <c r="X27" s="4">
        <v>200</v>
      </c>
      <c r="Y27" s="4" t="s">
        <v>25</v>
      </c>
      <c r="AB27" s="4">
        <v>0</v>
      </c>
      <c r="AC27" s="4" t="s">
        <v>25</v>
      </c>
      <c r="AF27" s="4">
        <v>400</v>
      </c>
      <c r="AJ27" s="4">
        <v>200</v>
      </c>
      <c r="AN27" s="4">
        <v>400</v>
      </c>
      <c r="AQ27" s="1">
        <f t="shared" si="0"/>
        <v>0</v>
      </c>
    </row>
    <row r="28" spans="1:43" x14ac:dyDescent="0.3">
      <c r="A28" s="1">
        <v>26</v>
      </c>
      <c r="B28" s="1" t="s">
        <v>6</v>
      </c>
      <c r="C28" s="1">
        <v>6</v>
      </c>
      <c r="P28" s="4" t="s">
        <v>21</v>
      </c>
      <c r="Q28" s="4">
        <v>2500</v>
      </c>
      <c r="R28" s="5" t="s">
        <v>22</v>
      </c>
      <c r="T28" s="1">
        <v>1800</v>
      </c>
      <c r="U28" s="1" t="s">
        <v>24</v>
      </c>
      <c r="V28" s="1" t="s">
        <v>28</v>
      </c>
      <c r="W28" s="4" t="s">
        <v>21</v>
      </c>
      <c r="X28" s="4">
        <v>1100</v>
      </c>
      <c r="Y28" s="4" t="s">
        <v>25</v>
      </c>
      <c r="AB28" s="4">
        <v>200</v>
      </c>
      <c r="AC28" s="4" t="s">
        <v>25</v>
      </c>
      <c r="AF28" s="4">
        <v>700</v>
      </c>
      <c r="AJ28" s="4">
        <v>700</v>
      </c>
      <c r="AN28" s="4">
        <v>700</v>
      </c>
      <c r="AQ28" s="1">
        <f t="shared" si="0"/>
        <v>2</v>
      </c>
    </row>
    <row r="29" spans="1:43" x14ac:dyDescent="0.3">
      <c r="A29" s="1">
        <v>27</v>
      </c>
      <c r="B29" s="1" t="s">
        <v>6</v>
      </c>
      <c r="C29" s="1">
        <v>7</v>
      </c>
      <c r="Q29" s="4">
        <v>2100</v>
      </c>
      <c r="R29" s="5" t="s">
        <v>22</v>
      </c>
      <c r="T29" s="1">
        <v>700</v>
      </c>
      <c r="U29" s="1" t="s">
        <v>24</v>
      </c>
      <c r="V29" s="1" t="s">
        <v>29</v>
      </c>
      <c r="X29" s="4">
        <v>600</v>
      </c>
      <c r="Y29" s="4" t="s">
        <v>25</v>
      </c>
      <c r="AB29" s="4">
        <v>100</v>
      </c>
      <c r="AC29" s="4" t="s">
        <v>25</v>
      </c>
      <c r="AF29" s="4">
        <v>800</v>
      </c>
      <c r="AJ29" s="4">
        <v>500</v>
      </c>
      <c r="AN29" s="4">
        <v>800</v>
      </c>
      <c r="AQ29" s="1">
        <f t="shared" si="0"/>
        <v>0</v>
      </c>
    </row>
    <row r="30" spans="1:43" x14ac:dyDescent="0.3">
      <c r="A30" s="1">
        <v>28</v>
      </c>
      <c r="B30" s="1" t="s">
        <v>6</v>
      </c>
      <c r="C30" s="1">
        <v>8</v>
      </c>
      <c r="Q30" s="4">
        <v>2100</v>
      </c>
      <c r="R30" s="5" t="s">
        <v>22</v>
      </c>
      <c r="T30" s="1">
        <v>1000</v>
      </c>
      <c r="U30" s="1" t="s">
        <v>25</v>
      </c>
      <c r="X30" s="4">
        <v>600</v>
      </c>
      <c r="Y30" s="4" t="s">
        <v>25</v>
      </c>
      <c r="AB30" s="4">
        <v>300</v>
      </c>
      <c r="AC30" s="4" t="s">
        <v>25</v>
      </c>
      <c r="AF30" s="4">
        <v>800</v>
      </c>
      <c r="AJ30" s="4">
        <v>500</v>
      </c>
      <c r="AN30" s="4">
        <v>800</v>
      </c>
      <c r="AQ30" s="1">
        <f t="shared" si="0"/>
        <v>0</v>
      </c>
    </row>
    <row r="31" spans="1:43" x14ac:dyDescent="0.3">
      <c r="A31" s="1">
        <v>29</v>
      </c>
      <c r="B31" s="1" t="s">
        <v>6</v>
      </c>
      <c r="C31" s="1">
        <v>9</v>
      </c>
      <c r="Q31" s="4">
        <v>2200</v>
      </c>
      <c r="R31" s="5" t="s">
        <v>22</v>
      </c>
      <c r="T31" s="1">
        <v>400</v>
      </c>
      <c r="U31" s="1" t="s">
        <v>25</v>
      </c>
      <c r="X31" s="4">
        <v>300</v>
      </c>
      <c r="Y31" s="4" t="s">
        <v>25</v>
      </c>
      <c r="AB31" s="4">
        <v>200</v>
      </c>
      <c r="AC31" s="4" t="s">
        <v>25</v>
      </c>
      <c r="AF31" s="4">
        <v>400</v>
      </c>
      <c r="AJ31" s="4">
        <v>300</v>
      </c>
      <c r="AN31" s="4">
        <v>400</v>
      </c>
      <c r="AQ31" s="1">
        <f t="shared" si="0"/>
        <v>0</v>
      </c>
    </row>
    <row r="32" spans="1:43" x14ac:dyDescent="0.3">
      <c r="A32" s="1">
        <v>30</v>
      </c>
      <c r="B32" s="1" t="s">
        <v>6</v>
      </c>
      <c r="C32" s="1">
        <v>10</v>
      </c>
      <c r="Q32" s="4">
        <v>1500</v>
      </c>
      <c r="R32" s="5" t="s">
        <v>22</v>
      </c>
      <c r="T32" s="1">
        <v>600</v>
      </c>
      <c r="U32" s="1" t="s">
        <v>25</v>
      </c>
      <c r="X32" s="4">
        <v>200</v>
      </c>
      <c r="Y32" s="4" t="s">
        <v>25</v>
      </c>
      <c r="AB32" s="4">
        <v>100</v>
      </c>
      <c r="AC32" s="4" t="s">
        <v>25</v>
      </c>
      <c r="AF32" s="4">
        <v>900</v>
      </c>
      <c r="AJ32" s="4">
        <v>500</v>
      </c>
      <c r="AN32" s="4">
        <v>900</v>
      </c>
      <c r="AQ32" s="1">
        <f t="shared" si="0"/>
        <v>0</v>
      </c>
    </row>
    <row r="33" spans="1:43" x14ac:dyDescent="0.3">
      <c r="A33" s="1">
        <v>31</v>
      </c>
      <c r="B33" s="1" t="s">
        <v>6</v>
      </c>
      <c r="C33" s="1">
        <v>11</v>
      </c>
      <c r="Q33" s="4">
        <v>2000</v>
      </c>
      <c r="R33" s="5" t="s">
        <v>22</v>
      </c>
      <c r="T33" s="1">
        <v>700</v>
      </c>
      <c r="U33" s="1" t="s">
        <v>25</v>
      </c>
      <c r="X33" s="4">
        <v>400</v>
      </c>
      <c r="Y33" s="4" t="s">
        <v>25</v>
      </c>
      <c r="AB33" s="4">
        <v>700</v>
      </c>
      <c r="AC33" s="4" t="s">
        <v>25</v>
      </c>
      <c r="AF33" s="4">
        <v>900</v>
      </c>
      <c r="AJ33" s="4">
        <v>700</v>
      </c>
      <c r="AN33" s="4">
        <v>900</v>
      </c>
      <c r="AQ33" s="1">
        <f t="shared" si="0"/>
        <v>0</v>
      </c>
    </row>
    <row r="34" spans="1:43" x14ac:dyDescent="0.3">
      <c r="A34" s="1">
        <v>32</v>
      </c>
      <c r="B34" s="1" t="s">
        <v>7</v>
      </c>
      <c r="C34" s="1">
        <v>1</v>
      </c>
      <c r="Q34" s="4">
        <v>2300</v>
      </c>
      <c r="R34" s="5" t="s">
        <v>22</v>
      </c>
      <c r="T34" s="1">
        <v>1500</v>
      </c>
      <c r="U34" s="1" t="s">
        <v>24</v>
      </c>
      <c r="V34" s="1" t="s">
        <v>28</v>
      </c>
      <c r="X34" s="4">
        <v>1000</v>
      </c>
      <c r="Y34" s="4" t="s">
        <v>25</v>
      </c>
      <c r="AB34" s="4">
        <v>500</v>
      </c>
      <c r="AC34" s="4" t="s">
        <v>25</v>
      </c>
      <c r="AF34" s="4">
        <v>1000</v>
      </c>
      <c r="AJ34" s="4">
        <v>800</v>
      </c>
      <c r="AN34" s="4">
        <v>1000</v>
      </c>
      <c r="AQ34" s="1">
        <f t="shared" si="0"/>
        <v>0</v>
      </c>
    </row>
    <row r="35" spans="1:43" x14ac:dyDescent="0.3">
      <c r="A35" s="1">
        <v>33</v>
      </c>
      <c r="B35" s="1" t="s">
        <v>7</v>
      </c>
      <c r="C35" s="1">
        <v>2</v>
      </c>
      <c r="G35" s="9" t="s">
        <v>21</v>
      </c>
      <c r="Q35" s="4">
        <v>2000</v>
      </c>
      <c r="R35" s="5" t="s">
        <v>22</v>
      </c>
      <c r="T35" s="1">
        <v>2300</v>
      </c>
      <c r="U35" s="1" t="s">
        <v>24</v>
      </c>
      <c r="V35" s="1" t="s">
        <v>28</v>
      </c>
      <c r="W35" s="9" t="s">
        <v>21</v>
      </c>
      <c r="X35" s="4">
        <v>1400</v>
      </c>
      <c r="Y35" s="4" t="s">
        <v>24</v>
      </c>
      <c r="AB35" s="4">
        <v>1000</v>
      </c>
      <c r="AC35" s="4" t="s">
        <v>25</v>
      </c>
      <c r="AF35" s="4">
        <v>1000</v>
      </c>
      <c r="AJ35" s="4">
        <v>1100</v>
      </c>
      <c r="AN35" s="4">
        <v>1000</v>
      </c>
      <c r="AQ35" s="1">
        <f t="shared" si="0"/>
        <v>2</v>
      </c>
    </row>
    <row r="36" spans="1:43" x14ac:dyDescent="0.3">
      <c r="A36" s="1">
        <v>34</v>
      </c>
      <c r="B36" s="1" t="s">
        <v>7</v>
      </c>
      <c r="C36" s="1">
        <v>3</v>
      </c>
      <c r="G36" s="9" t="s">
        <v>21</v>
      </c>
      <c r="M36" s="9" t="s">
        <v>21</v>
      </c>
      <c r="Q36" s="4">
        <v>1200</v>
      </c>
      <c r="R36" s="5" t="s">
        <v>22</v>
      </c>
      <c r="T36" s="1">
        <v>1400</v>
      </c>
      <c r="U36" s="1" t="s">
        <v>24</v>
      </c>
      <c r="V36" s="1" t="s">
        <v>28</v>
      </c>
      <c r="X36" s="4">
        <v>800</v>
      </c>
      <c r="Y36" s="4" t="s">
        <v>24</v>
      </c>
      <c r="Z36" s="5" t="s">
        <v>28</v>
      </c>
      <c r="AB36" s="4">
        <v>500</v>
      </c>
      <c r="AC36" s="4" t="s">
        <v>25</v>
      </c>
      <c r="AF36" s="4">
        <v>900</v>
      </c>
      <c r="AH36" s="5" t="s">
        <v>32</v>
      </c>
      <c r="AJ36" s="4">
        <v>700</v>
      </c>
      <c r="AM36" s="9" t="s">
        <v>21</v>
      </c>
      <c r="AN36" s="4">
        <v>900</v>
      </c>
      <c r="AP36" s="5" t="s">
        <v>32</v>
      </c>
      <c r="AQ36" s="1">
        <f t="shared" si="0"/>
        <v>3</v>
      </c>
    </row>
    <row r="37" spans="1:43" x14ac:dyDescent="0.3">
      <c r="A37" s="1">
        <v>35</v>
      </c>
      <c r="B37" s="1" t="s">
        <v>7</v>
      </c>
      <c r="C37" s="1">
        <v>4</v>
      </c>
      <c r="Q37" s="4">
        <v>1100</v>
      </c>
      <c r="R37" s="5" t="s">
        <v>22</v>
      </c>
      <c r="T37" s="1">
        <v>300</v>
      </c>
      <c r="U37" s="1" t="s">
        <v>25</v>
      </c>
      <c r="X37" s="4">
        <v>300</v>
      </c>
      <c r="Y37" s="4" t="s">
        <v>25</v>
      </c>
      <c r="Z37" s="5" t="s">
        <v>27</v>
      </c>
      <c r="AB37" s="4">
        <v>100</v>
      </c>
      <c r="AC37" s="4" t="s">
        <v>25</v>
      </c>
      <c r="AF37" s="4">
        <v>1000</v>
      </c>
      <c r="AJ37" s="4">
        <v>500</v>
      </c>
      <c r="AN37" s="4">
        <v>1000</v>
      </c>
      <c r="AQ37" s="1">
        <f t="shared" si="0"/>
        <v>0</v>
      </c>
    </row>
    <row r="38" spans="1:43" x14ac:dyDescent="0.3">
      <c r="A38" s="1">
        <v>36</v>
      </c>
      <c r="B38" s="1" t="s">
        <v>7</v>
      </c>
      <c r="C38" s="1">
        <v>5</v>
      </c>
      <c r="Q38" s="4">
        <v>1500</v>
      </c>
      <c r="R38" s="5" t="s">
        <v>22</v>
      </c>
      <c r="T38" s="1">
        <v>300</v>
      </c>
      <c r="U38" s="1" t="s">
        <v>25</v>
      </c>
      <c r="X38" s="4">
        <v>100</v>
      </c>
      <c r="Y38" s="4" t="s">
        <v>25</v>
      </c>
      <c r="AB38" s="4">
        <v>0</v>
      </c>
      <c r="AC38" s="4" t="s">
        <v>25</v>
      </c>
      <c r="AF38" s="4">
        <v>700</v>
      </c>
      <c r="AJ38" s="4">
        <v>300</v>
      </c>
      <c r="AM38" s="9" t="s">
        <v>21</v>
      </c>
      <c r="AN38" s="4">
        <v>700</v>
      </c>
      <c r="AQ38" s="1">
        <f t="shared" si="0"/>
        <v>1</v>
      </c>
    </row>
    <row r="39" spans="1:43" x14ac:dyDescent="0.3">
      <c r="A39" s="1">
        <v>37</v>
      </c>
      <c r="B39" s="1" t="s">
        <v>7</v>
      </c>
      <c r="C39" s="1">
        <v>6</v>
      </c>
      <c r="D39" s="9" t="s">
        <v>21</v>
      </c>
      <c r="M39" s="9" t="s">
        <v>21</v>
      </c>
      <c r="Q39" s="10">
        <v>2000</v>
      </c>
      <c r="R39" s="5" t="s">
        <v>22</v>
      </c>
      <c r="T39" s="3">
        <v>2300</v>
      </c>
      <c r="U39" s="1" t="s">
        <v>24</v>
      </c>
      <c r="V39" s="1" t="s">
        <v>28</v>
      </c>
      <c r="X39" s="10">
        <v>2000</v>
      </c>
      <c r="Y39" s="4" t="s">
        <v>24</v>
      </c>
      <c r="Z39" s="5" t="s">
        <v>28</v>
      </c>
      <c r="AB39" s="4">
        <v>2300</v>
      </c>
      <c r="AC39" s="4" t="s">
        <v>24</v>
      </c>
      <c r="AD39" s="5" t="s">
        <v>30</v>
      </c>
      <c r="AF39" s="4">
        <v>800</v>
      </c>
      <c r="AJ39" s="4">
        <v>1700</v>
      </c>
      <c r="AN39" s="4">
        <v>800</v>
      </c>
      <c r="AQ39" s="1">
        <f t="shared" si="0"/>
        <v>2</v>
      </c>
    </row>
    <row r="40" spans="1:43" x14ac:dyDescent="0.3">
      <c r="A40" s="1">
        <v>38</v>
      </c>
      <c r="B40" s="1" t="s">
        <v>7</v>
      </c>
      <c r="C40" s="1">
        <v>7</v>
      </c>
      <c r="Q40" s="10">
        <v>1700</v>
      </c>
      <c r="R40" s="5" t="s">
        <v>22</v>
      </c>
      <c r="T40" s="3">
        <v>200</v>
      </c>
      <c r="U40" s="1" t="s">
        <v>25</v>
      </c>
      <c r="X40" s="10">
        <v>100</v>
      </c>
      <c r="Y40" s="4" t="s">
        <v>25</v>
      </c>
      <c r="AB40" s="4">
        <v>0</v>
      </c>
      <c r="AC40" s="4" t="s">
        <v>25</v>
      </c>
      <c r="AF40" s="4">
        <v>800</v>
      </c>
      <c r="AJ40" s="4">
        <v>300</v>
      </c>
      <c r="AN40" s="4">
        <v>800</v>
      </c>
      <c r="AQ40" s="1">
        <f t="shared" si="0"/>
        <v>0</v>
      </c>
    </row>
    <row r="41" spans="1:43" x14ac:dyDescent="0.3">
      <c r="A41" s="1">
        <v>39</v>
      </c>
      <c r="B41" s="1" t="s">
        <v>7</v>
      </c>
      <c r="C41" s="1">
        <v>8</v>
      </c>
      <c r="Q41" s="10">
        <v>2600</v>
      </c>
      <c r="R41" s="5" t="s">
        <v>22</v>
      </c>
      <c r="T41" s="3">
        <v>1400</v>
      </c>
      <c r="U41" s="1" t="s">
        <v>24</v>
      </c>
      <c r="V41" s="1" t="s">
        <v>28</v>
      </c>
      <c r="X41" s="10">
        <v>1000</v>
      </c>
      <c r="Y41" s="4" t="s">
        <v>25</v>
      </c>
      <c r="AB41" s="4">
        <v>500</v>
      </c>
      <c r="AC41" s="4" t="s">
        <v>25</v>
      </c>
      <c r="AF41" s="4">
        <v>1000</v>
      </c>
      <c r="AJ41" s="4">
        <v>800</v>
      </c>
      <c r="AN41" s="4">
        <v>1000</v>
      </c>
      <c r="AQ41" s="1">
        <f t="shared" si="0"/>
        <v>0</v>
      </c>
    </row>
    <row r="42" spans="1:43" x14ac:dyDescent="0.3">
      <c r="A42" s="1">
        <v>40</v>
      </c>
      <c r="B42" s="1" t="s">
        <v>7</v>
      </c>
      <c r="C42" s="1">
        <v>9</v>
      </c>
      <c r="Q42" s="4">
        <v>400</v>
      </c>
      <c r="T42" s="3">
        <v>200</v>
      </c>
      <c r="U42" s="1" t="s">
        <v>25</v>
      </c>
      <c r="X42" s="10">
        <v>500</v>
      </c>
      <c r="Y42" s="4" t="s">
        <v>25</v>
      </c>
      <c r="AB42" s="4">
        <v>200</v>
      </c>
      <c r="AC42" s="4" t="s">
        <v>25</v>
      </c>
      <c r="AF42" s="4">
        <v>700</v>
      </c>
      <c r="AJ42" s="4">
        <v>500</v>
      </c>
      <c r="AN42" s="4">
        <v>700</v>
      </c>
      <c r="AQ42" s="1">
        <f t="shared" si="0"/>
        <v>0</v>
      </c>
    </row>
    <row r="43" spans="1:43" x14ac:dyDescent="0.3">
      <c r="A43" s="1">
        <v>41</v>
      </c>
      <c r="B43" s="1" t="s">
        <v>7</v>
      </c>
      <c r="C43" s="1">
        <v>10</v>
      </c>
      <c r="Q43" s="4">
        <v>2600</v>
      </c>
      <c r="R43" s="5" t="s">
        <v>22</v>
      </c>
      <c r="T43" s="3">
        <v>500</v>
      </c>
      <c r="U43" s="1" t="s">
        <v>25</v>
      </c>
      <c r="X43" s="10">
        <v>250</v>
      </c>
      <c r="Y43" s="4" t="s">
        <v>25</v>
      </c>
      <c r="AB43" s="4">
        <v>500</v>
      </c>
      <c r="AC43" s="4" t="s">
        <v>25</v>
      </c>
      <c r="AF43" s="4">
        <v>600</v>
      </c>
      <c r="AJ43" s="4">
        <v>500</v>
      </c>
      <c r="AN43" s="4">
        <v>600</v>
      </c>
      <c r="AQ43" s="1">
        <f t="shared" si="0"/>
        <v>0</v>
      </c>
    </row>
    <row r="44" spans="1:43" x14ac:dyDescent="0.3">
      <c r="A44" s="1">
        <v>42</v>
      </c>
      <c r="B44" s="1" t="s">
        <v>7</v>
      </c>
      <c r="C44" s="1">
        <v>11</v>
      </c>
      <c r="Q44" s="4">
        <v>2000</v>
      </c>
      <c r="R44" s="5" t="s">
        <v>22</v>
      </c>
      <c r="T44" s="3">
        <v>900</v>
      </c>
      <c r="U44" s="1" t="s">
        <v>25</v>
      </c>
      <c r="X44" s="10">
        <v>700</v>
      </c>
      <c r="Y44" s="4" t="s">
        <v>25</v>
      </c>
      <c r="AB44" s="4">
        <v>900</v>
      </c>
      <c r="AC44" s="4" t="s">
        <v>25</v>
      </c>
      <c r="AF44" s="4">
        <v>500</v>
      </c>
      <c r="AJ44" s="4">
        <v>700</v>
      </c>
      <c r="AN44" s="4">
        <v>500</v>
      </c>
      <c r="AQ44" s="1">
        <f t="shared" si="0"/>
        <v>0</v>
      </c>
    </row>
    <row r="45" spans="1:43" x14ac:dyDescent="0.3">
      <c r="A45" s="1">
        <v>43</v>
      </c>
      <c r="B45" s="1" t="s">
        <v>7</v>
      </c>
      <c r="C45" s="1">
        <v>12</v>
      </c>
      <c r="Q45" s="4">
        <v>100</v>
      </c>
      <c r="T45" s="3">
        <v>100</v>
      </c>
      <c r="U45" s="1" t="s">
        <v>25</v>
      </c>
      <c r="X45" s="10">
        <v>100</v>
      </c>
      <c r="Y45" s="4" t="s">
        <v>25</v>
      </c>
      <c r="AB45" s="4">
        <v>100</v>
      </c>
      <c r="AC45" s="4" t="s">
        <v>25</v>
      </c>
      <c r="AF45" s="4">
        <v>600</v>
      </c>
      <c r="AJ45" s="4">
        <v>300</v>
      </c>
      <c r="AN45" s="4">
        <v>600</v>
      </c>
      <c r="AQ45" s="1">
        <f t="shared" si="0"/>
        <v>0</v>
      </c>
    </row>
    <row r="46" spans="1:43" x14ac:dyDescent="0.3">
      <c r="A46" s="1">
        <v>44</v>
      </c>
      <c r="B46" s="1" t="s">
        <v>7</v>
      </c>
      <c r="C46" s="1">
        <v>13</v>
      </c>
      <c r="Q46" s="4">
        <v>50</v>
      </c>
      <c r="T46" s="3">
        <v>500</v>
      </c>
      <c r="U46" s="1" t="s">
        <v>25</v>
      </c>
      <c r="X46" s="10">
        <v>500</v>
      </c>
      <c r="Y46" s="4" t="s">
        <v>25</v>
      </c>
      <c r="AA46" s="9" t="s">
        <v>21</v>
      </c>
      <c r="AB46" s="4">
        <v>500</v>
      </c>
      <c r="AC46" s="4" t="s">
        <v>25</v>
      </c>
      <c r="AF46" s="4">
        <v>600</v>
      </c>
      <c r="AJ46" s="4">
        <v>500</v>
      </c>
      <c r="AN46" s="4">
        <v>600</v>
      </c>
      <c r="AQ46" s="1">
        <f t="shared" si="0"/>
        <v>1</v>
      </c>
    </row>
    <row r="47" spans="1:43" x14ac:dyDescent="0.3">
      <c r="A47" s="1">
        <v>45</v>
      </c>
      <c r="B47" s="1" t="s">
        <v>7</v>
      </c>
      <c r="C47" s="1">
        <v>14</v>
      </c>
      <c r="G47" s="9" t="s">
        <v>21</v>
      </c>
      <c r="Q47" s="4">
        <v>2300</v>
      </c>
      <c r="R47" s="5" t="s">
        <v>22</v>
      </c>
      <c r="T47" s="3">
        <v>2600</v>
      </c>
      <c r="U47" s="1" t="s">
        <v>24</v>
      </c>
      <c r="V47" s="1" t="s">
        <v>28</v>
      </c>
      <c r="W47" s="9" t="s">
        <v>21</v>
      </c>
      <c r="X47" s="10">
        <v>2400</v>
      </c>
      <c r="Y47" s="4" t="s">
        <v>24</v>
      </c>
      <c r="Z47" s="5" t="s">
        <v>28</v>
      </c>
      <c r="AB47" s="4">
        <v>1100</v>
      </c>
      <c r="AC47" s="4" t="s">
        <v>25</v>
      </c>
      <c r="AF47" s="4">
        <v>800</v>
      </c>
      <c r="AJ47" s="4">
        <v>1400</v>
      </c>
      <c r="AN47" s="4">
        <v>800</v>
      </c>
      <c r="AQ47" s="1">
        <f t="shared" si="0"/>
        <v>2</v>
      </c>
    </row>
    <row r="48" spans="1:43" x14ac:dyDescent="0.3">
      <c r="A48" s="1">
        <v>46</v>
      </c>
      <c r="B48" s="1" t="s">
        <v>7</v>
      </c>
      <c r="C48" s="1">
        <v>15</v>
      </c>
      <c r="Q48" s="4">
        <v>2700</v>
      </c>
      <c r="R48" s="5" t="s">
        <v>22</v>
      </c>
      <c r="T48" s="3">
        <v>1100</v>
      </c>
      <c r="U48" s="1" t="s">
        <v>25</v>
      </c>
      <c r="X48" s="10">
        <v>500</v>
      </c>
      <c r="Y48" s="4" t="s">
        <v>25</v>
      </c>
      <c r="AB48" s="4">
        <v>1100</v>
      </c>
      <c r="AC48" s="4" t="s">
        <v>25</v>
      </c>
      <c r="AF48" s="4">
        <v>500</v>
      </c>
      <c r="AJ48" s="4">
        <v>700</v>
      </c>
      <c r="AN48" s="4">
        <v>500</v>
      </c>
      <c r="AQ48" s="1">
        <f t="shared" si="0"/>
        <v>0</v>
      </c>
    </row>
    <row r="49" spans="1:43" x14ac:dyDescent="0.3">
      <c r="A49" s="1">
        <v>47</v>
      </c>
      <c r="B49" s="1" t="s">
        <v>7</v>
      </c>
      <c r="C49" s="1">
        <v>16</v>
      </c>
      <c r="Q49" s="4">
        <v>2600</v>
      </c>
      <c r="R49" s="5" t="s">
        <v>22</v>
      </c>
      <c r="T49" s="3">
        <v>1000</v>
      </c>
      <c r="U49" s="1" t="s">
        <v>25</v>
      </c>
      <c r="X49" s="10">
        <v>100</v>
      </c>
      <c r="Y49" s="4" t="s">
        <v>25</v>
      </c>
      <c r="AB49" s="4">
        <v>1000</v>
      </c>
      <c r="AC49" s="4" t="s">
        <v>25</v>
      </c>
      <c r="AF49" s="4">
        <v>300</v>
      </c>
      <c r="AJ49" s="4">
        <v>500</v>
      </c>
      <c r="AN49" s="4">
        <v>300</v>
      </c>
      <c r="AQ49" s="1">
        <f t="shared" si="0"/>
        <v>0</v>
      </c>
    </row>
    <row r="50" spans="1:43" x14ac:dyDescent="0.3">
      <c r="A50" s="1">
        <v>48</v>
      </c>
      <c r="B50" s="1" t="s">
        <v>7</v>
      </c>
      <c r="C50" s="1">
        <v>17</v>
      </c>
      <c r="D50" s="9" t="s">
        <v>21</v>
      </c>
      <c r="G50" s="9" t="s">
        <v>21</v>
      </c>
      <c r="M50" s="9" t="s">
        <v>21</v>
      </c>
      <c r="Q50" s="4">
        <v>2300</v>
      </c>
      <c r="R50" s="5" t="s">
        <v>22</v>
      </c>
      <c r="T50" s="3">
        <v>2500</v>
      </c>
      <c r="U50" s="1" t="s">
        <v>24</v>
      </c>
      <c r="V50" s="1" t="s">
        <v>34</v>
      </c>
      <c r="X50" s="10">
        <v>2000</v>
      </c>
      <c r="Y50" s="4" t="s">
        <v>24</v>
      </c>
      <c r="Z50" s="5" t="s">
        <v>29</v>
      </c>
      <c r="AB50" s="4">
        <v>2500</v>
      </c>
      <c r="AC50" s="4" t="s">
        <v>24</v>
      </c>
      <c r="AD50" s="5" t="s">
        <v>30</v>
      </c>
      <c r="AE50" s="9" t="s">
        <v>21</v>
      </c>
      <c r="AF50" s="4">
        <v>1500</v>
      </c>
      <c r="AJ50" s="4">
        <v>2000</v>
      </c>
      <c r="AN50" s="4">
        <v>1500</v>
      </c>
      <c r="AQ50" s="1">
        <f t="shared" si="0"/>
        <v>4</v>
      </c>
    </row>
    <row r="51" spans="1:43" x14ac:dyDescent="0.3">
      <c r="A51" s="1">
        <v>49</v>
      </c>
      <c r="B51" s="1" t="s">
        <v>7</v>
      </c>
      <c r="C51" s="1">
        <v>18</v>
      </c>
      <c r="Q51" s="4">
        <v>900</v>
      </c>
      <c r="T51" s="3">
        <v>400</v>
      </c>
      <c r="U51" s="1" t="s">
        <v>25</v>
      </c>
      <c r="X51" s="10">
        <v>700</v>
      </c>
      <c r="Y51" s="4" t="s">
        <v>25</v>
      </c>
      <c r="AB51" s="4">
        <v>400</v>
      </c>
      <c r="AC51" s="4" t="s">
        <v>25</v>
      </c>
      <c r="AF51" s="4">
        <v>600</v>
      </c>
      <c r="AJ51" s="4">
        <v>600</v>
      </c>
      <c r="AN51" s="4">
        <v>600</v>
      </c>
      <c r="AQ51" s="1">
        <f t="shared" si="0"/>
        <v>0</v>
      </c>
    </row>
    <row r="52" spans="1:43" x14ac:dyDescent="0.3">
      <c r="A52" s="1">
        <v>50</v>
      </c>
      <c r="B52" s="1" t="s">
        <v>7</v>
      </c>
      <c r="C52" s="1">
        <v>19</v>
      </c>
      <c r="Q52" s="4">
        <v>2400</v>
      </c>
      <c r="R52" s="5" t="s">
        <v>22</v>
      </c>
      <c r="T52" s="3">
        <v>2700</v>
      </c>
      <c r="U52" s="1" t="s">
        <v>24</v>
      </c>
      <c r="V52" s="1" t="s">
        <v>28</v>
      </c>
      <c r="X52" s="10">
        <v>2700</v>
      </c>
      <c r="Y52" s="4" t="s">
        <v>24</v>
      </c>
      <c r="Z52" s="5" t="s">
        <v>28</v>
      </c>
      <c r="AB52" s="4">
        <v>2700</v>
      </c>
      <c r="AC52" s="4" t="s">
        <v>24</v>
      </c>
      <c r="AD52" s="5" t="s">
        <v>30</v>
      </c>
      <c r="AF52" s="4">
        <v>1200</v>
      </c>
      <c r="AJ52" s="4">
        <v>2200</v>
      </c>
      <c r="AN52" s="4">
        <v>1200</v>
      </c>
      <c r="AQ52" s="1">
        <f t="shared" si="0"/>
        <v>0</v>
      </c>
    </row>
    <row r="53" spans="1:43" x14ac:dyDescent="0.3">
      <c r="A53" s="1">
        <v>51</v>
      </c>
      <c r="B53" s="1" t="s">
        <v>7</v>
      </c>
      <c r="C53" s="1">
        <v>20</v>
      </c>
      <c r="Q53" s="4">
        <v>1100</v>
      </c>
      <c r="R53" s="5" t="s">
        <v>22</v>
      </c>
      <c r="T53" s="3">
        <v>800</v>
      </c>
      <c r="U53" s="1" t="s">
        <v>25</v>
      </c>
      <c r="X53" s="10">
        <v>600</v>
      </c>
      <c r="Y53" s="4" t="s">
        <v>25</v>
      </c>
      <c r="AB53" s="4">
        <v>1000</v>
      </c>
      <c r="AC53" s="4" t="s">
        <v>25</v>
      </c>
      <c r="AF53" s="4">
        <v>1200</v>
      </c>
      <c r="AH53" s="5" t="s">
        <v>32</v>
      </c>
      <c r="AJ53" s="4">
        <v>900</v>
      </c>
      <c r="AN53" s="4">
        <v>1200</v>
      </c>
      <c r="AP53" s="5" t="s">
        <v>32</v>
      </c>
      <c r="AQ53" s="1">
        <f t="shared" si="0"/>
        <v>0</v>
      </c>
    </row>
    <row r="54" spans="1:43" x14ac:dyDescent="0.3">
      <c r="A54" s="1">
        <v>52</v>
      </c>
      <c r="B54" s="1" t="s">
        <v>8</v>
      </c>
      <c r="C54" s="1">
        <v>1</v>
      </c>
      <c r="G54" s="9" t="s">
        <v>21</v>
      </c>
      <c r="M54" s="9" t="s">
        <v>21</v>
      </c>
      <c r="Q54" s="4">
        <v>500</v>
      </c>
      <c r="R54" s="5" t="s">
        <v>22</v>
      </c>
      <c r="T54" s="3">
        <v>700</v>
      </c>
      <c r="U54" s="1" t="s">
        <v>24</v>
      </c>
      <c r="V54" s="1" t="s">
        <v>34</v>
      </c>
      <c r="X54" s="10">
        <v>700</v>
      </c>
      <c r="Y54" s="4" t="s">
        <v>24</v>
      </c>
      <c r="Z54" s="5" t="s">
        <v>33</v>
      </c>
      <c r="AC54" s="4" t="s">
        <v>25</v>
      </c>
      <c r="AF54" s="4">
        <v>1000</v>
      </c>
      <c r="AH54" s="5" t="s">
        <v>32</v>
      </c>
      <c r="AJ54" s="4">
        <v>800</v>
      </c>
      <c r="AL54" s="5" t="s">
        <v>32</v>
      </c>
      <c r="AN54" s="4">
        <v>1000</v>
      </c>
      <c r="AP54" s="5" t="s">
        <v>32</v>
      </c>
      <c r="AQ54" s="1">
        <f t="shared" si="0"/>
        <v>2</v>
      </c>
    </row>
    <row r="55" spans="1:43" x14ac:dyDescent="0.3">
      <c r="A55" s="1">
        <v>53</v>
      </c>
      <c r="B55" s="1" t="s">
        <v>9</v>
      </c>
      <c r="C55" s="1">
        <v>1</v>
      </c>
      <c r="AQ55" s="1">
        <f t="shared" si="0"/>
        <v>0</v>
      </c>
    </row>
    <row r="56" spans="1:43" x14ac:dyDescent="0.3">
      <c r="A56" s="1">
        <v>54</v>
      </c>
      <c r="B56" s="1" t="s">
        <v>9</v>
      </c>
      <c r="C56" s="1">
        <v>2</v>
      </c>
      <c r="AQ56" s="1">
        <f t="shared" si="0"/>
        <v>0</v>
      </c>
    </row>
    <row r="57" spans="1:43" x14ac:dyDescent="0.3">
      <c r="A57" s="1">
        <v>55</v>
      </c>
      <c r="B57" s="1" t="s">
        <v>10</v>
      </c>
      <c r="C57" s="1">
        <v>1</v>
      </c>
      <c r="AQ57" s="1">
        <f t="shared" si="0"/>
        <v>0</v>
      </c>
    </row>
    <row r="58" spans="1:43" x14ac:dyDescent="0.3">
      <c r="A58" s="1">
        <v>56</v>
      </c>
      <c r="B58" s="1" t="s">
        <v>10</v>
      </c>
      <c r="C58" s="1">
        <v>2</v>
      </c>
      <c r="AQ58" s="1">
        <f t="shared" si="0"/>
        <v>0</v>
      </c>
    </row>
    <row r="59" spans="1:43" x14ac:dyDescent="0.3">
      <c r="A59" s="1">
        <v>57</v>
      </c>
      <c r="B59" s="1" t="s">
        <v>10</v>
      </c>
      <c r="C59" s="1">
        <v>3</v>
      </c>
      <c r="AQ59" s="1">
        <f t="shared" si="0"/>
        <v>0</v>
      </c>
    </row>
    <row r="60" spans="1:43" x14ac:dyDescent="0.3">
      <c r="A60" s="1">
        <v>58</v>
      </c>
      <c r="B60" s="1" t="s">
        <v>10</v>
      </c>
      <c r="C60" s="1">
        <v>4</v>
      </c>
      <c r="AQ60" s="1">
        <f t="shared" si="0"/>
        <v>0</v>
      </c>
    </row>
    <row r="61" spans="1:43" x14ac:dyDescent="0.3">
      <c r="A61" s="1">
        <v>59</v>
      </c>
      <c r="B61" s="1" t="s">
        <v>10</v>
      </c>
      <c r="C61" s="1">
        <v>5</v>
      </c>
      <c r="AQ61" s="1">
        <f t="shared" si="0"/>
        <v>0</v>
      </c>
    </row>
    <row r="62" spans="1:43" x14ac:dyDescent="0.3">
      <c r="A62" s="1">
        <v>60</v>
      </c>
      <c r="B62" s="1" t="s">
        <v>10</v>
      </c>
      <c r="C62" s="1">
        <v>6</v>
      </c>
      <c r="AQ62" s="1">
        <f t="shared" si="0"/>
        <v>0</v>
      </c>
    </row>
    <row r="63" spans="1:43" x14ac:dyDescent="0.3">
      <c r="A63" s="1">
        <v>61</v>
      </c>
      <c r="B63" s="1" t="s">
        <v>10</v>
      </c>
      <c r="C63" s="1">
        <v>7</v>
      </c>
      <c r="AQ63" s="1">
        <f t="shared" si="0"/>
        <v>0</v>
      </c>
    </row>
    <row r="64" spans="1:43" x14ac:dyDescent="0.3">
      <c r="A64" s="1">
        <v>62</v>
      </c>
      <c r="B64" s="1" t="s">
        <v>10</v>
      </c>
      <c r="C64" s="1">
        <v>8</v>
      </c>
      <c r="AQ64" s="1">
        <f t="shared" si="0"/>
        <v>0</v>
      </c>
    </row>
    <row r="65" spans="1:43" x14ac:dyDescent="0.3">
      <c r="A65" s="1">
        <v>63</v>
      </c>
      <c r="B65" s="1" t="s">
        <v>10</v>
      </c>
      <c r="C65" s="1">
        <v>9</v>
      </c>
      <c r="AQ65" s="1">
        <f t="shared" si="0"/>
        <v>0</v>
      </c>
    </row>
    <row r="66" spans="1:43" x14ac:dyDescent="0.3">
      <c r="A66" s="1">
        <v>64</v>
      </c>
      <c r="B66" s="1" t="s">
        <v>10</v>
      </c>
      <c r="C66" s="1">
        <v>10</v>
      </c>
      <c r="AQ66" s="1">
        <f t="shared" si="0"/>
        <v>0</v>
      </c>
    </row>
    <row r="67" spans="1:43" x14ac:dyDescent="0.3">
      <c r="A67" s="1">
        <v>65</v>
      </c>
      <c r="B67" s="1" t="s">
        <v>10</v>
      </c>
      <c r="C67" s="1">
        <v>11</v>
      </c>
      <c r="AQ67" s="1">
        <f t="shared" si="0"/>
        <v>0</v>
      </c>
    </row>
    <row r="68" spans="1:43" x14ac:dyDescent="0.3">
      <c r="A68" s="1">
        <v>66</v>
      </c>
      <c r="B68" s="1" t="s">
        <v>10</v>
      </c>
      <c r="C68" s="1">
        <v>12</v>
      </c>
      <c r="AQ68" s="1">
        <f t="shared" ref="AQ68:AQ83" si="1">COUNTA(AM68,AI68,AE68,AA68,W68,S68,P68,M68,J68,G68,D68)</f>
        <v>0</v>
      </c>
    </row>
    <row r="69" spans="1:43" x14ac:dyDescent="0.3">
      <c r="A69" s="1">
        <v>67</v>
      </c>
      <c r="B69" s="1" t="s">
        <v>10</v>
      </c>
      <c r="C69" s="1">
        <v>13</v>
      </c>
      <c r="AQ69" s="1">
        <f t="shared" si="1"/>
        <v>0</v>
      </c>
    </row>
    <row r="70" spans="1:43" x14ac:dyDescent="0.3">
      <c r="A70" s="1">
        <v>68</v>
      </c>
      <c r="B70" s="1" t="s">
        <v>10</v>
      </c>
      <c r="C70" s="1">
        <v>14</v>
      </c>
      <c r="AQ70" s="1">
        <f t="shared" si="1"/>
        <v>0</v>
      </c>
    </row>
    <row r="71" spans="1:43" x14ac:dyDescent="0.3">
      <c r="A71" s="1">
        <v>69</v>
      </c>
      <c r="B71" s="1" t="s">
        <v>10</v>
      </c>
      <c r="C71" s="1">
        <v>15</v>
      </c>
      <c r="AQ71" s="1">
        <f t="shared" si="1"/>
        <v>0</v>
      </c>
    </row>
    <row r="72" spans="1:43" x14ac:dyDescent="0.3">
      <c r="A72" s="1">
        <v>70</v>
      </c>
      <c r="B72" s="1" t="s">
        <v>10</v>
      </c>
      <c r="C72" s="1">
        <v>16</v>
      </c>
      <c r="AQ72" s="1">
        <f t="shared" si="1"/>
        <v>0</v>
      </c>
    </row>
    <row r="73" spans="1:43" x14ac:dyDescent="0.3">
      <c r="A73" s="1">
        <v>71</v>
      </c>
      <c r="B73" s="1" t="s">
        <v>10</v>
      </c>
      <c r="C73" s="1">
        <v>17</v>
      </c>
      <c r="AQ73" s="1">
        <f t="shared" si="1"/>
        <v>0</v>
      </c>
    </row>
    <row r="74" spans="1:43" x14ac:dyDescent="0.3">
      <c r="A74" s="1">
        <v>72</v>
      </c>
      <c r="B74" s="1" t="s">
        <v>10</v>
      </c>
      <c r="C74" s="1">
        <v>18</v>
      </c>
      <c r="AQ74" s="1">
        <f t="shared" si="1"/>
        <v>0</v>
      </c>
    </row>
    <row r="75" spans="1:43" x14ac:dyDescent="0.3">
      <c r="A75" s="1">
        <v>73</v>
      </c>
      <c r="B75" s="1" t="s">
        <v>10</v>
      </c>
      <c r="C75" s="1">
        <v>19</v>
      </c>
      <c r="AQ75" s="1">
        <f t="shared" si="1"/>
        <v>0</v>
      </c>
    </row>
    <row r="76" spans="1:43" x14ac:dyDescent="0.3">
      <c r="A76" s="1">
        <v>74</v>
      </c>
      <c r="B76" s="1" t="s">
        <v>10</v>
      </c>
      <c r="C76" s="1">
        <v>20</v>
      </c>
      <c r="AQ76" s="1">
        <f t="shared" si="1"/>
        <v>0</v>
      </c>
    </row>
    <row r="77" spans="1:43" x14ac:dyDescent="0.3">
      <c r="A77" s="1">
        <v>75</v>
      </c>
      <c r="B77" s="1" t="s">
        <v>10</v>
      </c>
      <c r="C77" s="1">
        <v>21</v>
      </c>
      <c r="AQ77" s="1">
        <f t="shared" si="1"/>
        <v>0</v>
      </c>
    </row>
    <row r="78" spans="1:43" x14ac:dyDescent="0.3">
      <c r="A78" s="1">
        <v>76</v>
      </c>
      <c r="B78" s="1" t="s">
        <v>10</v>
      </c>
      <c r="C78" s="1">
        <v>22</v>
      </c>
      <c r="AQ78" s="1">
        <f t="shared" si="1"/>
        <v>0</v>
      </c>
    </row>
    <row r="79" spans="1:43" x14ac:dyDescent="0.3">
      <c r="A79" s="1">
        <v>77</v>
      </c>
      <c r="B79" s="1" t="s">
        <v>10</v>
      </c>
      <c r="C79" s="1">
        <v>23</v>
      </c>
      <c r="AQ79" s="1">
        <f t="shared" si="1"/>
        <v>0</v>
      </c>
    </row>
    <row r="80" spans="1:43" x14ac:dyDescent="0.3">
      <c r="A80" s="1">
        <v>78</v>
      </c>
      <c r="B80" s="1" t="s">
        <v>10</v>
      </c>
      <c r="C80" s="1">
        <v>24</v>
      </c>
      <c r="AQ80" s="1">
        <f t="shared" si="1"/>
        <v>0</v>
      </c>
    </row>
    <row r="81" spans="1:43" x14ac:dyDescent="0.3">
      <c r="A81" s="1">
        <v>79</v>
      </c>
      <c r="B81" s="1" t="s">
        <v>10</v>
      </c>
      <c r="C81" s="1">
        <v>25</v>
      </c>
      <c r="AQ81" s="1">
        <f t="shared" si="1"/>
        <v>0</v>
      </c>
    </row>
    <row r="82" spans="1:43" x14ac:dyDescent="0.3">
      <c r="A82" s="1">
        <v>80</v>
      </c>
      <c r="B82" s="1" t="s">
        <v>10</v>
      </c>
      <c r="C82" s="1">
        <v>26</v>
      </c>
      <c r="AQ82" s="1">
        <f t="shared" si="1"/>
        <v>0</v>
      </c>
    </row>
    <row r="83" spans="1:43" x14ac:dyDescent="0.3">
      <c r="A83" s="1">
        <v>81</v>
      </c>
      <c r="B83" s="1" t="s">
        <v>10</v>
      </c>
      <c r="C83" s="1">
        <v>27</v>
      </c>
      <c r="AQ83" s="1">
        <f t="shared" si="1"/>
        <v>0</v>
      </c>
    </row>
  </sheetData>
  <mergeCells count="11">
    <mergeCell ref="AA1:AD1"/>
    <mergeCell ref="AE1:AH1"/>
    <mergeCell ref="AI1:AL1"/>
    <mergeCell ref="AM1:AP1"/>
    <mergeCell ref="W1:Z1"/>
    <mergeCell ref="D1:F1"/>
    <mergeCell ref="G1:I1"/>
    <mergeCell ref="M1:O1"/>
    <mergeCell ref="P1:R1"/>
    <mergeCell ref="S1:V1"/>
    <mergeCell ref="J1:L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53E6-95C3-48D4-978B-DC196A8A07BC}">
  <dimension ref="A1:AQ45"/>
  <sheetViews>
    <sheetView zoomScale="55" zoomScaleNormal="5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Q28" sqref="A28:XFD28"/>
    </sheetView>
  </sheetViews>
  <sheetFormatPr defaultRowHeight="16.5" x14ac:dyDescent="0.3"/>
  <cols>
    <col min="1" max="1" width="5.25" style="1" bestFit="1" customWidth="1"/>
    <col min="2" max="2" width="9" style="1" bestFit="1" customWidth="1"/>
    <col min="3" max="3" width="5.25" style="1" bestFit="1" customWidth="1"/>
    <col min="4" max="4" width="5.25" style="9" bestFit="1" customWidth="1"/>
    <col min="5" max="5" width="5.25" style="4" bestFit="1" customWidth="1"/>
    <col min="6" max="6" width="5.25" style="5" bestFit="1" customWidth="1"/>
    <col min="7" max="7" width="5.25" style="9" bestFit="1" customWidth="1"/>
    <col min="8" max="8" width="5.25" style="4" bestFit="1" customWidth="1"/>
    <col min="9" max="9" width="5.25" style="5" bestFit="1" customWidth="1"/>
    <col min="10" max="12" width="5.25" style="1" customWidth="1"/>
    <col min="13" max="13" width="5.25" style="9" bestFit="1" customWidth="1"/>
    <col min="14" max="14" width="5.25" style="4" bestFit="1" customWidth="1"/>
    <col min="15" max="15" width="5.25" style="5" bestFit="1" customWidth="1"/>
    <col min="16" max="16" width="5.25" style="1" bestFit="1" customWidth="1"/>
    <col min="17" max="17" width="5.5" style="1" bestFit="1" customWidth="1"/>
    <col min="18" max="18" width="5.25" style="1" bestFit="1" customWidth="1"/>
    <col min="19" max="19" width="5.25" style="9" bestFit="1" customWidth="1"/>
    <col min="20" max="20" width="5.5" style="4" bestFit="1" customWidth="1"/>
    <col min="21" max="21" width="5.25" style="4" bestFit="1" customWidth="1"/>
    <col min="22" max="22" width="24.125" style="5" bestFit="1" customWidth="1"/>
    <col min="23" max="23" width="5.25" style="9" bestFit="1" customWidth="1"/>
    <col min="24" max="24" width="5.5" style="4" bestFit="1" customWidth="1"/>
    <col min="25" max="25" width="5.25" style="4" bestFit="1" customWidth="1"/>
    <col min="26" max="26" width="24.125" style="5" bestFit="1" customWidth="1"/>
    <col min="27" max="27" width="9" style="9"/>
    <col min="28" max="29" width="9" style="4"/>
    <col min="30" max="30" width="24.125" style="5" bestFit="1" customWidth="1"/>
    <col min="31" max="31" width="9" style="9"/>
    <col min="32" max="33" width="9" style="4"/>
    <col min="34" max="34" width="9" style="5"/>
    <col min="35" max="35" width="9" style="9"/>
    <col min="36" max="37" width="9" style="4"/>
    <col min="38" max="38" width="9" style="5"/>
    <col min="39" max="39" width="9" style="9"/>
    <col min="40" max="41" width="9" style="4"/>
    <col min="42" max="42" width="9" style="5"/>
    <col min="43" max="16384" width="9" style="1"/>
  </cols>
  <sheetData>
    <row r="1" spans="1:43" x14ac:dyDescent="0.3">
      <c r="D1" s="6">
        <v>2014</v>
      </c>
      <c r="E1" s="7"/>
      <c r="F1" s="8"/>
      <c r="G1" s="6">
        <v>2016</v>
      </c>
      <c r="H1" s="7"/>
      <c r="I1" s="8"/>
      <c r="J1" s="6">
        <v>2017</v>
      </c>
      <c r="K1" s="7"/>
      <c r="L1" s="8"/>
      <c r="M1" s="6">
        <v>2018</v>
      </c>
      <c r="N1" s="7"/>
      <c r="O1" s="8"/>
      <c r="P1" s="2">
        <v>2019</v>
      </c>
      <c r="Q1" s="2"/>
      <c r="R1" s="2"/>
      <c r="S1" s="6">
        <v>2020</v>
      </c>
      <c r="T1" s="7"/>
      <c r="U1" s="7"/>
      <c r="V1" s="8"/>
      <c r="W1" s="6">
        <v>2021</v>
      </c>
      <c r="X1" s="7"/>
      <c r="Y1" s="7"/>
      <c r="Z1" s="8"/>
      <c r="AA1" s="6">
        <v>2022</v>
      </c>
      <c r="AB1" s="7"/>
      <c r="AC1" s="7"/>
      <c r="AD1" s="8"/>
      <c r="AE1" s="6">
        <v>2023</v>
      </c>
      <c r="AF1" s="7"/>
      <c r="AG1" s="7"/>
      <c r="AH1" s="8"/>
      <c r="AI1" s="6">
        <v>2024</v>
      </c>
      <c r="AJ1" s="7"/>
      <c r="AK1" s="7"/>
      <c r="AL1" s="8"/>
      <c r="AM1" s="6">
        <v>2025</v>
      </c>
      <c r="AN1" s="7"/>
      <c r="AO1" s="7"/>
      <c r="AP1" s="8"/>
    </row>
    <row r="2" spans="1:43" x14ac:dyDescent="0.3">
      <c r="A2" s="1" t="s">
        <v>4</v>
      </c>
      <c r="B2" s="1" t="s">
        <v>0</v>
      </c>
      <c r="C2" s="1" t="s">
        <v>2</v>
      </c>
      <c r="D2" s="9" t="s">
        <v>18</v>
      </c>
      <c r="E2" s="4" t="s">
        <v>19</v>
      </c>
      <c r="F2" s="5" t="s">
        <v>20</v>
      </c>
      <c r="G2" s="9" t="s">
        <v>18</v>
      </c>
      <c r="H2" s="4" t="s">
        <v>19</v>
      </c>
      <c r="I2" s="5" t="s">
        <v>20</v>
      </c>
      <c r="J2" s="4" t="s">
        <v>18</v>
      </c>
      <c r="K2" s="4" t="s">
        <v>19</v>
      </c>
      <c r="L2" s="5" t="s">
        <v>20</v>
      </c>
      <c r="M2" s="9" t="s">
        <v>18</v>
      </c>
      <c r="N2" s="4" t="s">
        <v>19</v>
      </c>
      <c r="O2" s="5" t="s">
        <v>20</v>
      </c>
      <c r="P2" s="1" t="s">
        <v>18</v>
      </c>
      <c r="Q2" s="1" t="s">
        <v>19</v>
      </c>
      <c r="R2" s="1" t="s">
        <v>20</v>
      </c>
      <c r="S2" s="9" t="s">
        <v>18</v>
      </c>
      <c r="T2" s="4" t="s">
        <v>19</v>
      </c>
      <c r="U2" s="4" t="s">
        <v>23</v>
      </c>
      <c r="V2" s="5" t="s">
        <v>20</v>
      </c>
      <c r="W2" s="9" t="s">
        <v>18</v>
      </c>
      <c r="X2" s="4" t="s">
        <v>19</v>
      </c>
      <c r="Y2" s="4" t="s">
        <v>23</v>
      </c>
      <c r="Z2" s="5" t="s">
        <v>20</v>
      </c>
      <c r="AA2" s="9" t="s">
        <v>18</v>
      </c>
      <c r="AB2" s="4" t="s">
        <v>19</v>
      </c>
      <c r="AC2" s="4" t="s">
        <v>23</v>
      </c>
      <c r="AD2" s="5" t="s">
        <v>20</v>
      </c>
      <c r="AE2" s="9" t="s">
        <v>18</v>
      </c>
      <c r="AF2" s="4" t="s">
        <v>19</v>
      </c>
      <c r="AG2" s="4" t="s">
        <v>23</v>
      </c>
      <c r="AH2" s="5" t="s">
        <v>20</v>
      </c>
      <c r="AI2" s="9" t="s">
        <v>18</v>
      </c>
      <c r="AJ2" s="4" t="s">
        <v>19</v>
      </c>
      <c r="AK2" s="4" t="s">
        <v>23</v>
      </c>
      <c r="AL2" s="5" t="s">
        <v>20</v>
      </c>
      <c r="AM2" s="9" t="s">
        <v>18</v>
      </c>
      <c r="AN2" s="4" t="s">
        <v>19</v>
      </c>
      <c r="AO2" s="4" t="s">
        <v>23</v>
      </c>
      <c r="AP2" s="5" t="s">
        <v>20</v>
      </c>
    </row>
    <row r="3" spans="1:43" x14ac:dyDescent="0.3">
      <c r="A3" s="1">
        <v>1</v>
      </c>
      <c r="B3" s="1" t="s">
        <v>11</v>
      </c>
      <c r="C3" s="1">
        <v>1</v>
      </c>
      <c r="Q3" s="1">
        <v>600</v>
      </c>
      <c r="R3" s="1" t="s">
        <v>22</v>
      </c>
      <c r="T3" s="4">
        <v>600</v>
      </c>
      <c r="U3" s="4" t="s">
        <v>24</v>
      </c>
      <c r="V3" s="5" t="s">
        <v>28</v>
      </c>
      <c r="X3" s="4">
        <v>600</v>
      </c>
      <c r="Y3" s="4" t="s">
        <v>24</v>
      </c>
      <c r="Z3" s="5" t="s">
        <v>28</v>
      </c>
      <c r="AB3" s="4">
        <v>500</v>
      </c>
      <c r="AC3" s="4" t="s">
        <v>24</v>
      </c>
      <c r="AD3" s="5" t="s">
        <v>30</v>
      </c>
      <c r="AF3" s="4">
        <v>600</v>
      </c>
      <c r="AH3" s="5" t="s">
        <v>32</v>
      </c>
      <c r="AJ3" s="4">
        <v>600</v>
      </c>
      <c r="AL3" s="5" t="s">
        <v>32</v>
      </c>
      <c r="AN3" s="4">
        <v>600</v>
      </c>
      <c r="AP3" s="5" t="s">
        <v>32</v>
      </c>
      <c r="AQ3" s="1">
        <f>COUNTA(D3,G3,J3,M3,P3,W3,AA3,AE3,AI3,AM3)</f>
        <v>0</v>
      </c>
    </row>
    <row r="4" spans="1:43" x14ac:dyDescent="0.3">
      <c r="A4" s="1">
        <v>2</v>
      </c>
      <c r="B4" s="1" t="s">
        <v>11</v>
      </c>
      <c r="C4" s="1">
        <v>2</v>
      </c>
      <c r="Q4" s="1">
        <v>600</v>
      </c>
      <c r="R4" s="1" t="s">
        <v>22</v>
      </c>
      <c r="T4" s="4">
        <v>700</v>
      </c>
      <c r="U4" s="4" t="s">
        <v>24</v>
      </c>
      <c r="V4" s="5" t="s">
        <v>28</v>
      </c>
      <c r="X4" s="4">
        <v>1100</v>
      </c>
      <c r="Y4" s="4" t="s">
        <v>24</v>
      </c>
      <c r="Z4" s="5" t="s">
        <v>28</v>
      </c>
      <c r="AB4" s="4">
        <v>700</v>
      </c>
      <c r="AC4" s="4" t="s">
        <v>24</v>
      </c>
      <c r="AD4" s="5" t="s">
        <v>30</v>
      </c>
      <c r="AF4" s="4">
        <v>700</v>
      </c>
      <c r="AH4" s="5" t="s">
        <v>32</v>
      </c>
      <c r="AJ4" s="4">
        <v>800</v>
      </c>
      <c r="AL4" s="5" t="s">
        <v>32</v>
      </c>
      <c r="AN4" s="4">
        <v>700</v>
      </c>
      <c r="AP4" s="5" t="s">
        <v>32</v>
      </c>
      <c r="AQ4" s="1">
        <f t="shared" ref="AQ4:AQ45" si="0">COUNTA(D4,G4,J4,M4,P4,W4,AA4,AE4,AI4,AM4)</f>
        <v>0</v>
      </c>
    </row>
    <row r="5" spans="1:43" x14ac:dyDescent="0.3">
      <c r="A5" s="1">
        <v>3</v>
      </c>
      <c r="B5" s="1" t="s">
        <v>11</v>
      </c>
      <c r="C5" s="1">
        <v>3</v>
      </c>
      <c r="D5" s="9" t="s">
        <v>21</v>
      </c>
      <c r="J5" s="9" t="s">
        <v>21</v>
      </c>
      <c r="Q5" s="1">
        <v>600</v>
      </c>
      <c r="R5" s="1" t="s">
        <v>22</v>
      </c>
      <c r="T5" s="4">
        <v>600</v>
      </c>
      <c r="U5" s="4" t="s">
        <v>24</v>
      </c>
      <c r="V5" s="5" t="s">
        <v>28</v>
      </c>
      <c r="X5" s="4">
        <v>450</v>
      </c>
      <c r="Y5" s="4" t="s">
        <v>24</v>
      </c>
      <c r="Z5" s="5" t="s">
        <v>28</v>
      </c>
      <c r="AB5" s="4">
        <v>600</v>
      </c>
      <c r="AC5" s="4" t="s">
        <v>24</v>
      </c>
      <c r="AD5" s="5" t="s">
        <v>30</v>
      </c>
      <c r="AF5" s="4">
        <v>700</v>
      </c>
      <c r="AH5" s="5" t="s">
        <v>32</v>
      </c>
      <c r="AJ5" s="4">
        <v>600</v>
      </c>
      <c r="AL5" s="5" t="s">
        <v>32</v>
      </c>
      <c r="AN5" s="4">
        <v>700</v>
      </c>
      <c r="AP5" s="5" t="s">
        <v>32</v>
      </c>
      <c r="AQ5" s="1">
        <f t="shared" si="0"/>
        <v>2</v>
      </c>
    </row>
    <row r="6" spans="1:43" x14ac:dyDescent="0.3">
      <c r="A6" s="1">
        <v>4</v>
      </c>
      <c r="B6" s="1" t="s">
        <v>11</v>
      </c>
      <c r="C6" s="1">
        <v>4</v>
      </c>
      <c r="M6" s="9" t="s">
        <v>21</v>
      </c>
      <c r="Q6" s="1">
        <v>500</v>
      </c>
      <c r="R6" s="1" t="s">
        <v>22</v>
      </c>
      <c r="T6" s="4">
        <v>500</v>
      </c>
      <c r="U6" s="4" t="s">
        <v>24</v>
      </c>
      <c r="V6" s="5" t="s">
        <v>28</v>
      </c>
      <c r="X6" s="4">
        <v>1000</v>
      </c>
      <c r="Y6" s="4" t="s">
        <v>24</v>
      </c>
      <c r="Z6" s="5" t="s">
        <v>28</v>
      </c>
      <c r="AB6" s="4">
        <v>500</v>
      </c>
      <c r="AC6" s="4" t="s">
        <v>24</v>
      </c>
      <c r="AD6" s="5" t="s">
        <v>30</v>
      </c>
      <c r="AF6" s="4">
        <v>500</v>
      </c>
      <c r="AH6" s="5" t="s">
        <v>32</v>
      </c>
      <c r="AJ6" s="4">
        <v>700</v>
      </c>
      <c r="AL6" s="5" t="s">
        <v>32</v>
      </c>
      <c r="AN6" s="4">
        <v>500</v>
      </c>
      <c r="AP6" s="5" t="s">
        <v>32</v>
      </c>
      <c r="AQ6" s="1">
        <f t="shared" si="0"/>
        <v>1</v>
      </c>
    </row>
    <row r="7" spans="1:43" x14ac:dyDescent="0.3">
      <c r="A7" s="1">
        <v>5</v>
      </c>
      <c r="B7" s="1" t="s">
        <v>11</v>
      </c>
      <c r="C7" s="1">
        <v>5</v>
      </c>
      <c r="Q7" s="1">
        <v>600</v>
      </c>
      <c r="R7" s="1" t="s">
        <v>22</v>
      </c>
      <c r="T7" s="4">
        <v>600</v>
      </c>
      <c r="U7" s="4" t="s">
        <v>24</v>
      </c>
      <c r="V7" s="5" t="s">
        <v>28</v>
      </c>
      <c r="X7" s="4">
        <v>600</v>
      </c>
      <c r="Y7" s="4" t="s">
        <v>24</v>
      </c>
      <c r="Z7" s="5" t="s">
        <v>28</v>
      </c>
      <c r="AB7" s="4">
        <v>700</v>
      </c>
      <c r="AC7" s="4" t="s">
        <v>24</v>
      </c>
      <c r="AD7" s="5" t="s">
        <v>30</v>
      </c>
      <c r="AF7" s="4">
        <v>600</v>
      </c>
      <c r="AH7" s="5" t="s">
        <v>32</v>
      </c>
      <c r="AJ7" s="4">
        <v>600</v>
      </c>
      <c r="AL7" s="5" t="s">
        <v>32</v>
      </c>
      <c r="AN7" s="4">
        <v>600</v>
      </c>
      <c r="AP7" s="5" t="s">
        <v>32</v>
      </c>
      <c r="AQ7" s="1">
        <f t="shared" si="0"/>
        <v>0</v>
      </c>
    </row>
    <row r="8" spans="1:43" x14ac:dyDescent="0.3">
      <c r="A8" s="1">
        <v>6</v>
      </c>
      <c r="B8" s="1" t="s">
        <v>11</v>
      </c>
      <c r="C8" s="1">
        <v>6</v>
      </c>
      <c r="Q8" s="1">
        <v>600</v>
      </c>
      <c r="R8" s="1" t="s">
        <v>22</v>
      </c>
      <c r="T8" s="4">
        <v>600</v>
      </c>
      <c r="U8" s="4" t="s">
        <v>24</v>
      </c>
      <c r="V8" s="5" t="s">
        <v>28</v>
      </c>
      <c r="X8" s="4">
        <v>500</v>
      </c>
      <c r="Y8" s="4" t="s">
        <v>24</v>
      </c>
      <c r="Z8" s="5" t="s">
        <v>28</v>
      </c>
      <c r="AB8" s="4">
        <v>500</v>
      </c>
      <c r="AC8" s="4" t="s">
        <v>24</v>
      </c>
      <c r="AD8" s="5" t="s">
        <v>30</v>
      </c>
      <c r="AF8" s="4">
        <v>600</v>
      </c>
      <c r="AH8" s="5" t="s">
        <v>32</v>
      </c>
      <c r="AJ8" s="4">
        <v>500</v>
      </c>
      <c r="AL8" s="5" t="s">
        <v>32</v>
      </c>
      <c r="AN8" s="4">
        <v>600</v>
      </c>
      <c r="AP8" s="5" t="s">
        <v>32</v>
      </c>
      <c r="AQ8" s="1">
        <f t="shared" si="0"/>
        <v>0</v>
      </c>
    </row>
    <row r="9" spans="1:43" x14ac:dyDescent="0.3">
      <c r="A9" s="1">
        <v>7</v>
      </c>
      <c r="B9" s="1" t="s">
        <v>12</v>
      </c>
      <c r="C9" s="1">
        <v>1</v>
      </c>
      <c r="Q9" s="1">
        <v>600</v>
      </c>
      <c r="R9" s="1" t="s">
        <v>22</v>
      </c>
      <c r="T9" s="4">
        <v>600</v>
      </c>
      <c r="U9" s="4" t="s">
        <v>24</v>
      </c>
      <c r="V9" s="5" t="s">
        <v>28</v>
      </c>
      <c r="X9" s="4">
        <v>600</v>
      </c>
      <c r="Y9" s="4" t="s">
        <v>24</v>
      </c>
      <c r="Z9" s="5" t="s">
        <v>28</v>
      </c>
      <c r="AB9" s="4">
        <v>400</v>
      </c>
      <c r="AC9" s="4" t="s">
        <v>25</v>
      </c>
      <c r="AF9" s="4">
        <v>600</v>
      </c>
      <c r="AH9" s="5" t="s">
        <v>32</v>
      </c>
      <c r="AJ9" s="4">
        <v>500</v>
      </c>
      <c r="AN9" s="4">
        <v>600</v>
      </c>
      <c r="AP9" s="5" t="s">
        <v>32</v>
      </c>
      <c r="AQ9" s="1">
        <f t="shared" si="0"/>
        <v>0</v>
      </c>
    </row>
    <row r="10" spans="1:43" x14ac:dyDescent="0.3">
      <c r="A10" s="1">
        <v>8</v>
      </c>
      <c r="B10" s="1" t="s">
        <v>12</v>
      </c>
      <c r="C10" s="1">
        <v>2</v>
      </c>
      <c r="Q10" s="1">
        <v>400</v>
      </c>
      <c r="R10" s="1" t="s">
        <v>22</v>
      </c>
      <c r="T10" s="4">
        <v>100</v>
      </c>
      <c r="U10" s="4" t="s">
        <v>25</v>
      </c>
      <c r="X10" s="4">
        <v>20</v>
      </c>
      <c r="Y10" s="4" t="s">
        <v>25</v>
      </c>
      <c r="AB10" s="4">
        <v>100</v>
      </c>
      <c r="AC10" s="4" t="s">
        <v>25</v>
      </c>
      <c r="AF10" s="4">
        <v>500</v>
      </c>
      <c r="AH10" s="1" t="s">
        <v>32</v>
      </c>
      <c r="AJ10" s="4">
        <v>200</v>
      </c>
      <c r="AN10" s="4">
        <v>500</v>
      </c>
      <c r="AP10" s="1" t="s">
        <v>32</v>
      </c>
      <c r="AQ10" s="1">
        <f t="shared" si="0"/>
        <v>0</v>
      </c>
    </row>
    <row r="11" spans="1:43" x14ac:dyDescent="0.3">
      <c r="A11" s="1">
        <v>9</v>
      </c>
      <c r="B11" s="1" t="s">
        <v>12</v>
      </c>
      <c r="C11" s="1">
        <v>3</v>
      </c>
      <c r="Q11" s="1">
        <v>600</v>
      </c>
      <c r="R11" s="1" t="s">
        <v>22</v>
      </c>
      <c r="T11" s="4">
        <v>600</v>
      </c>
      <c r="U11" s="4" t="s">
        <v>24</v>
      </c>
      <c r="V11" s="5" t="s">
        <v>28</v>
      </c>
      <c r="W11" s="9" t="s">
        <v>21</v>
      </c>
      <c r="X11" s="4">
        <v>600</v>
      </c>
      <c r="Y11" s="4" t="s">
        <v>24</v>
      </c>
      <c r="Z11" s="5" t="s">
        <v>28</v>
      </c>
      <c r="AB11" s="4">
        <v>500</v>
      </c>
      <c r="AC11" s="4" t="s">
        <v>24</v>
      </c>
      <c r="AD11" s="5" t="s">
        <v>30</v>
      </c>
      <c r="AF11" s="4">
        <v>700</v>
      </c>
      <c r="AH11" s="5" t="s">
        <v>32</v>
      </c>
      <c r="AJ11" s="4">
        <v>600</v>
      </c>
      <c r="AL11" s="5" t="s">
        <v>32</v>
      </c>
      <c r="AN11" s="4">
        <v>700</v>
      </c>
      <c r="AP11" s="5" t="s">
        <v>32</v>
      </c>
      <c r="AQ11" s="1">
        <f t="shared" si="0"/>
        <v>1</v>
      </c>
    </row>
    <row r="12" spans="1:43" x14ac:dyDescent="0.3">
      <c r="A12" s="1">
        <v>10</v>
      </c>
      <c r="B12" s="1" t="s">
        <v>12</v>
      </c>
      <c r="C12" s="1">
        <v>4</v>
      </c>
      <c r="Q12" s="1">
        <v>700</v>
      </c>
      <c r="R12" s="1" t="s">
        <v>22</v>
      </c>
      <c r="T12" s="4">
        <v>600</v>
      </c>
      <c r="U12" s="4" t="s">
        <v>24</v>
      </c>
      <c r="V12" s="5" t="s">
        <v>28</v>
      </c>
      <c r="X12" s="4">
        <v>600</v>
      </c>
      <c r="Y12" s="4" t="s">
        <v>24</v>
      </c>
      <c r="Z12" s="5" t="s">
        <v>28</v>
      </c>
      <c r="AB12" s="4">
        <v>100</v>
      </c>
      <c r="AC12" s="4" t="s">
        <v>25</v>
      </c>
      <c r="AF12" s="4">
        <v>700</v>
      </c>
      <c r="AH12" s="5" t="s">
        <v>32</v>
      </c>
      <c r="AJ12" s="4">
        <v>500</v>
      </c>
      <c r="AN12" s="4">
        <v>700</v>
      </c>
      <c r="AP12" s="5" t="s">
        <v>32</v>
      </c>
      <c r="AQ12" s="1">
        <f t="shared" si="0"/>
        <v>0</v>
      </c>
    </row>
    <row r="13" spans="1:43" x14ac:dyDescent="0.3">
      <c r="A13" s="1">
        <v>11</v>
      </c>
      <c r="B13" s="1" t="s">
        <v>12</v>
      </c>
      <c r="C13" s="1">
        <v>5</v>
      </c>
      <c r="Q13" s="1">
        <v>500</v>
      </c>
      <c r="R13" s="1" t="s">
        <v>22</v>
      </c>
      <c r="T13" s="4">
        <v>500</v>
      </c>
      <c r="U13" s="4" t="s">
        <v>24</v>
      </c>
      <c r="V13" s="5" t="s">
        <v>28</v>
      </c>
      <c r="X13" s="4">
        <v>200</v>
      </c>
      <c r="Y13" s="4" t="s">
        <v>25</v>
      </c>
      <c r="AB13" s="4">
        <v>100</v>
      </c>
      <c r="AC13" s="4" t="s">
        <v>25</v>
      </c>
      <c r="AF13" s="4">
        <v>300</v>
      </c>
      <c r="AJ13" s="4">
        <v>200</v>
      </c>
      <c r="AN13" s="4">
        <v>300</v>
      </c>
      <c r="AQ13" s="1">
        <f t="shared" si="0"/>
        <v>0</v>
      </c>
    </row>
    <row r="14" spans="1:43" x14ac:dyDescent="0.3">
      <c r="A14" s="1">
        <v>12</v>
      </c>
      <c r="B14" s="1" t="s">
        <v>12</v>
      </c>
      <c r="C14" s="1">
        <v>6</v>
      </c>
      <c r="Q14" s="1">
        <v>300</v>
      </c>
      <c r="R14" s="1" t="s">
        <v>22</v>
      </c>
      <c r="T14" s="4">
        <v>300</v>
      </c>
      <c r="U14" s="4" t="s">
        <v>25</v>
      </c>
      <c r="V14" s="1" t="s">
        <v>32</v>
      </c>
      <c r="X14" s="4">
        <v>300</v>
      </c>
      <c r="Y14" s="4" t="s">
        <v>25</v>
      </c>
      <c r="Z14" s="1" t="s">
        <v>32</v>
      </c>
      <c r="AB14" s="4">
        <v>100</v>
      </c>
      <c r="AC14" s="4" t="s">
        <v>25</v>
      </c>
      <c r="AF14" s="4">
        <v>700</v>
      </c>
      <c r="AH14" s="1" t="s">
        <v>32</v>
      </c>
      <c r="AJ14" s="4">
        <v>400</v>
      </c>
      <c r="AL14" s="1" t="s">
        <v>32</v>
      </c>
      <c r="AN14" s="4">
        <v>700</v>
      </c>
      <c r="AP14" s="1" t="s">
        <v>32</v>
      </c>
      <c r="AQ14" s="1">
        <f t="shared" si="0"/>
        <v>0</v>
      </c>
    </row>
    <row r="15" spans="1:43" x14ac:dyDescent="0.3">
      <c r="A15" s="1">
        <v>13</v>
      </c>
      <c r="B15" s="1" t="s">
        <v>12</v>
      </c>
      <c r="C15" s="1">
        <v>7</v>
      </c>
      <c r="Q15" s="1">
        <v>400</v>
      </c>
      <c r="R15" s="1" t="s">
        <v>22</v>
      </c>
      <c r="T15" s="4">
        <v>400</v>
      </c>
      <c r="U15" s="4" t="s">
        <v>25</v>
      </c>
      <c r="V15" s="1" t="s">
        <v>32</v>
      </c>
      <c r="X15" s="4">
        <v>600</v>
      </c>
      <c r="Y15" s="4" t="s">
        <v>25</v>
      </c>
      <c r="Z15" s="1" t="s">
        <v>32</v>
      </c>
      <c r="AB15" s="4">
        <v>500</v>
      </c>
      <c r="AC15" s="4" t="s">
        <v>25</v>
      </c>
      <c r="AD15" s="1" t="s">
        <v>32</v>
      </c>
      <c r="AF15" s="4">
        <v>600</v>
      </c>
      <c r="AH15" s="1" t="s">
        <v>32</v>
      </c>
      <c r="AJ15" s="4">
        <v>600</v>
      </c>
      <c r="AL15" s="1" t="s">
        <v>32</v>
      </c>
      <c r="AN15" s="4">
        <v>600</v>
      </c>
      <c r="AP15" s="1" t="s">
        <v>32</v>
      </c>
      <c r="AQ15" s="1">
        <f t="shared" si="0"/>
        <v>0</v>
      </c>
    </row>
    <row r="16" spans="1:43" x14ac:dyDescent="0.3">
      <c r="A16" s="1">
        <v>14</v>
      </c>
      <c r="B16" s="1" t="s">
        <v>12</v>
      </c>
      <c r="C16" s="1">
        <v>8</v>
      </c>
      <c r="Q16" s="1">
        <v>300</v>
      </c>
      <c r="R16" s="1" t="s">
        <v>22</v>
      </c>
      <c r="T16" s="4">
        <v>400</v>
      </c>
      <c r="U16" s="4" t="s">
        <v>24</v>
      </c>
      <c r="V16" s="5" t="s">
        <v>28</v>
      </c>
      <c r="X16" s="4">
        <v>300</v>
      </c>
      <c r="Y16" s="4" t="s">
        <v>25</v>
      </c>
      <c r="Z16" s="5" t="s">
        <v>32</v>
      </c>
      <c r="AB16" s="4">
        <v>300</v>
      </c>
      <c r="AC16" s="4" t="s">
        <v>25</v>
      </c>
      <c r="AD16" s="5" t="s">
        <v>32</v>
      </c>
      <c r="AF16" s="4">
        <v>700</v>
      </c>
      <c r="AH16" s="5" t="s">
        <v>32</v>
      </c>
      <c r="AJ16" s="4">
        <v>400</v>
      </c>
      <c r="AL16" s="5" t="s">
        <v>32</v>
      </c>
      <c r="AN16" s="4">
        <v>700</v>
      </c>
      <c r="AP16" s="5" t="s">
        <v>32</v>
      </c>
      <c r="AQ16" s="1">
        <f t="shared" si="0"/>
        <v>0</v>
      </c>
    </row>
    <row r="17" spans="1:43" x14ac:dyDescent="0.3">
      <c r="A17" s="1">
        <v>15</v>
      </c>
      <c r="B17" s="1" t="s">
        <v>12</v>
      </c>
      <c r="C17" s="1">
        <v>9</v>
      </c>
      <c r="Q17" s="1">
        <v>600</v>
      </c>
      <c r="R17" s="1" t="s">
        <v>22</v>
      </c>
      <c r="T17" s="4">
        <v>600</v>
      </c>
      <c r="U17" s="4" t="s">
        <v>25</v>
      </c>
      <c r="V17" s="1" t="s">
        <v>32</v>
      </c>
      <c r="X17" s="4">
        <v>600</v>
      </c>
      <c r="Y17" s="4" t="s">
        <v>25</v>
      </c>
      <c r="Z17" s="1" t="s">
        <v>32</v>
      </c>
      <c r="AB17" s="4">
        <v>500</v>
      </c>
      <c r="AC17" s="4" t="s">
        <v>25</v>
      </c>
      <c r="AF17" s="4">
        <v>600</v>
      </c>
      <c r="AH17" s="1" t="s">
        <v>32</v>
      </c>
      <c r="AJ17" s="4">
        <v>600</v>
      </c>
      <c r="AL17" s="1" t="s">
        <v>32</v>
      </c>
      <c r="AN17" s="4">
        <v>600</v>
      </c>
      <c r="AP17" s="1" t="s">
        <v>32</v>
      </c>
      <c r="AQ17" s="1">
        <f t="shared" si="0"/>
        <v>0</v>
      </c>
    </row>
    <row r="18" spans="1:43" x14ac:dyDescent="0.3">
      <c r="A18" s="1">
        <v>16</v>
      </c>
      <c r="B18" s="1" t="s">
        <v>12</v>
      </c>
      <c r="C18" s="1">
        <v>10</v>
      </c>
      <c r="Q18" s="1">
        <v>1000</v>
      </c>
      <c r="R18" s="1" t="s">
        <v>22</v>
      </c>
      <c r="T18" s="4">
        <v>1000</v>
      </c>
      <c r="U18" s="4" t="s">
        <v>24</v>
      </c>
      <c r="V18" s="5" t="s">
        <v>28</v>
      </c>
      <c r="X18" s="4">
        <v>650</v>
      </c>
      <c r="Y18" s="4" t="s">
        <v>24</v>
      </c>
      <c r="Z18" s="5" t="s">
        <v>28</v>
      </c>
      <c r="AB18" s="4">
        <v>1000</v>
      </c>
      <c r="AC18" s="4" t="s">
        <v>24</v>
      </c>
      <c r="AD18" s="5" t="s">
        <v>30</v>
      </c>
      <c r="AF18" s="4">
        <v>1200</v>
      </c>
      <c r="AH18" s="5" t="s">
        <v>32</v>
      </c>
      <c r="AJ18" s="4">
        <v>1000</v>
      </c>
      <c r="AL18" s="5" t="s">
        <v>32</v>
      </c>
      <c r="AN18" s="4">
        <v>1200</v>
      </c>
      <c r="AP18" s="5" t="s">
        <v>32</v>
      </c>
      <c r="AQ18" s="1">
        <f t="shared" si="0"/>
        <v>0</v>
      </c>
    </row>
    <row r="19" spans="1:43" x14ac:dyDescent="0.3">
      <c r="A19" s="1">
        <v>17</v>
      </c>
      <c r="B19" s="1" t="s">
        <v>12</v>
      </c>
      <c r="C19" s="1">
        <v>11</v>
      </c>
      <c r="Q19" s="1">
        <v>300</v>
      </c>
      <c r="R19" s="1" t="s">
        <v>22</v>
      </c>
      <c r="T19" s="4">
        <v>300</v>
      </c>
      <c r="U19" s="4" t="s">
        <v>25</v>
      </c>
      <c r="V19" s="1" t="s">
        <v>32</v>
      </c>
      <c r="X19" s="4">
        <v>300</v>
      </c>
      <c r="Y19" s="4" t="s">
        <v>25</v>
      </c>
      <c r="Z19" s="1" t="s">
        <v>32</v>
      </c>
      <c r="AB19" s="4">
        <v>500</v>
      </c>
      <c r="AC19" s="4" t="s">
        <v>25</v>
      </c>
      <c r="AD19" s="1" t="s">
        <v>32</v>
      </c>
      <c r="AF19" s="4">
        <v>600</v>
      </c>
      <c r="AH19" s="1" t="s">
        <v>32</v>
      </c>
      <c r="AJ19" s="4">
        <v>500</v>
      </c>
      <c r="AL19" s="1" t="s">
        <v>32</v>
      </c>
      <c r="AN19" s="4">
        <v>600</v>
      </c>
      <c r="AP19" s="1" t="s">
        <v>32</v>
      </c>
      <c r="AQ19" s="1">
        <f t="shared" si="0"/>
        <v>0</v>
      </c>
    </row>
    <row r="20" spans="1:43" x14ac:dyDescent="0.3">
      <c r="A20" s="1">
        <v>18</v>
      </c>
      <c r="B20" s="1" t="s">
        <v>13</v>
      </c>
      <c r="C20" s="1">
        <v>1</v>
      </c>
      <c r="Q20" s="1">
        <v>100</v>
      </c>
      <c r="R20" s="1" t="s">
        <v>22</v>
      </c>
      <c r="T20" s="4">
        <v>200</v>
      </c>
      <c r="U20" s="4" t="s">
        <v>24</v>
      </c>
      <c r="V20" s="5" t="s">
        <v>33</v>
      </c>
      <c r="X20" s="4">
        <v>100</v>
      </c>
      <c r="Y20" s="4" t="s">
        <v>24</v>
      </c>
      <c r="Z20" s="5" t="s">
        <v>33</v>
      </c>
      <c r="AB20" s="4">
        <v>0</v>
      </c>
      <c r="AC20" s="4" t="s">
        <v>24</v>
      </c>
      <c r="AD20" s="5" t="s">
        <v>27</v>
      </c>
      <c r="AF20" s="4">
        <v>200</v>
      </c>
      <c r="AH20" s="5" t="s">
        <v>32</v>
      </c>
      <c r="AJ20" s="4">
        <v>100</v>
      </c>
      <c r="AL20" s="5" t="s">
        <v>32</v>
      </c>
      <c r="AN20" s="4">
        <v>200</v>
      </c>
      <c r="AP20" s="5" t="s">
        <v>32</v>
      </c>
      <c r="AQ20" s="1">
        <f t="shared" si="0"/>
        <v>0</v>
      </c>
    </row>
    <row r="21" spans="1:43" x14ac:dyDescent="0.3">
      <c r="A21" s="1">
        <v>19</v>
      </c>
      <c r="B21" s="1" t="s">
        <v>13</v>
      </c>
      <c r="C21" s="1">
        <v>2</v>
      </c>
      <c r="D21" s="9" t="s">
        <v>21</v>
      </c>
      <c r="Q21" s="1">
        <v>800</v>
      </c>
      <c r="R21" s="1" t="s">
        <v>22</v>
      </c>
      <c r="S21" s="9" t="s">
        <v>21</v>
      </c>
      <c r="T21" s="4">
        <v>600</v>
      </c>
      <c r="U21" s="4" t="s">
        <v>24</v>
      </c>
      <c r="V21" s="5" t="s">
        <v>27</v>
      </c>
      <c r="X21" s="4">
        <v>1000</v>
      </c>
      <c r="Y21" s="4" t="s">
        <v>24</v>
      </c>
      <c r="Z21" s="5" t="s">
        <v>33</v>
      </c>
      <c r="AB21" s="4">
        <v>400</v>
      </c>
      <c r="AC21" s="4" t="s">
        <v>24</v>
      </c>
      <c r="AD21" s="5" t="s">
        <v>27</v>
      </c>
      <c r="AF21" s="4">
        <v>1200</v>
      </c>
      <c r="AH21" s="5" t="s">
        <v>32</v>
      </c>
      <c r="AJ21" s="4">
        <v>900</v>
      </c>
      <c r="AL21" s="5" t="s">
        <v>32</v>
      </c>
      <c r="AN21" s="4">
        <v>1200</v>
      </c>
      <c r="AP21" s="5" t="s">
        <v>32</v>
      </c>
      <c r="AQ21" s="1">
        <f t="shared" si="0"/>
        <v>1</v>
      </c>
    </row>
    <row r="22" spans="1:43" x14ac:dyDescent="0.3">
      <c r="A22" s="1">
        <v>20</v>
      </c>
      <c r="B22" s="1" t="s">
        <v>13</v>
      </c>
      <c r="C22" s="1">
        <v>3</v>
      </c>
      <c r="G22" s="9" t="s">
        <v>21</v>
      </c>
      <c r="M22" s="9" t="s">
        <v>21</v>
      </c>
      <c r="Q22" s="1">
        <v>200</v>
      </c>
      <c r="T22" s="4">
        <v>200</v>
      </c>
      <c r="U22" s="4" t="s">
        <v>25</v>
      </c>
      <c r="X22" s="4">
        <v>250</v>
      </c>
      <c r="Y22" s="4" t="s">
        <v>25</v>
      </c>
      <c r="AB22" s="4">
        <v>500</v>
      </c>
      <c r="AC22" s="4" t="s">
        <v>25</v>
      </c>
      <c r="AE22" s="9" t="s">
        <v>21</v>
      </c>
      <c r="AF22" s="4">
        <v>200</v>
      </c>
      <c r="AJ22" s="4">
        <v>300</v>
      </c>
      <c r="AN22" s="4">
        <v>200</v>
      </c>
      <c r="AQ22" s="1">
        <f t="shared" si="0"/>
        <v>3</v>
      </c>
    </row>
    <row r="23" spans="1:43" x14ac:dyDescent="0.3">
      <c r="A23" s="1">
        <v>21</v>
      </c>
      <c r="B23" s="1" t="s">
        <v>13</v>
      </c>
      <c r="C23" s="1">
        <v>4</v>
      </c>
      <c r="Q23" s="1">
        <v>1000</v>
      </c>
      <c r="R23" s="1" t="s">
        <v>22</v>
      </c>
      <c r="T23" s="4">
        <v>1000</v>
      </c>
      <c r="U23" s="4" t="s">
        <v>24</v>
      </c>
      <c r="V23" s="5" t="s">
        <v>28</v>
      </c>
      <c r="X23" s="4">
        <v>1000</v>
      </c>
      <c r="Y23" s="4" t="s">
        <v>24</v>
      </c>
      <c r="Z23" s="5" t="s">
        <v>28</v>
      </c>
      <c r="AB23" s="4">
        <v>1000</v>
      </c>
      <c r="AC23" s="4" t="s">
        <v>24</v>
      </c>
      <c r="AD23" s="5" t="s">
        <v>30</v>
      </c>
      <c r="AF23" s="4">
        <v>900</v>
      </c>
      <c r="AJ23" s="4">
        <v>100</v>
      </c>
      <c r="AN23" s="4">
        <v>900</v>
      </c>
      <c r="AQ23" s="1">
        <f t="shared" si="0"/>
        <v>0</v>
      </c>
    </row>
    <row r="24" spans="1:43" x14ac:dyDescent="0.3">
      <c r="A24" s="1">
        <v>22</v>
      </c>
      <c r="B24" s="1" t="s">
        <v>13</v>
      </c>
      <c r="C24" s="1">
        <v>5</v>
      </c>
      <c r="Q24" s="1">
        <v>900</v>
      </c>
      <c r="R24" s="1" t="s">
        <v>22</v>
      </c>
      <c r="S24" s="9" t="s">
        <v>21</v>
      </c>
      <c r="T24" s="4">
        <v>1000</v>
      </c>
      <c r="U24" s="4" t="s">
        <v>24</v>
      </c>
      <c r="V24" s="5" t="s">
        <v>28</v>
      </c>
      <c r="X24" s="4">
        <v>1000</v>
      </c>
      <c r="Y24" s="4" t="s">
        <v>24</v>
      </c>
      <c r="Z24" s="5" t="s">
        <v>28</v>
      </c>
      <c r="AB24" s="4">
        <v>1000</v>
      </c>
      <c r="AC24" s="4" t="s">
        <v>24</v>
      </c>
      <c r="AD24" s="5" t="s">
        <v>30</v>
      </c>
      <c r="AF24" s="4">
        <v>700</v>
      </c>
      <c r="AJ24" s="4">
        <v>900</v>
      </c>
      <c r="AL24" s="5" t="s">
        <v>32</v>
      </c>
      <c r="AN24" s="4">
        <v>700</v>
      </c>
      <c r="AQ24" s="1">
        <f t="shared" si="0"/>
        <v>0</v>
      </c>
    </row>
    <row r="25" spans="1:43" x14ac:dyDescent="0.3">
      <c r="A25" s="1">
        <v>23</v>
      </c>
      <c r="B25" s="1" t="s">
        <v>13</v>
      </c>
      <c r="C25" s="1">
        <v>6</v>
      </c>
      <c r="Q25" s="1">
        <v>900</v>
      </c>
      <c r="R25" s="1" t="s">
        <v>22</v>
      </c>
      <c r="S25" s="9" t="s">
        <v>21</v>
      </c>
      <c r="T25" s="4">
        <v>1000</v>
      </c>
      <c r="U25" s="4" t="s">
        <v>24</v>
      </c>
      <c r="V25" s="5" t="s">
        <v>28</v>
      </c>
      <c r="X25" s="4">
        <v>1000</v>
      </c>
      <c r="Y25" s="4" t="s">
        <v>24</v>
      </c>
      <c r="Z25" s="5" t="s">
        <v>28</v>
      </c>
      <c r="AB25" s="4">
        <v>1000</v>
      </c>
      <c r="AC25" s="4" t="s">
        <v>24</v>
      </c>
      <c r="AD25" s="5" t="s">
        <v>30</v>
      </c>
      <c r="AF25" s="4">
        <v>800</v>
      </c>
      <c r="AJ25" s="4">
        <v>900</v>
      </c>
      <c r="AL25" s="5" t="s">
        <v>32</v>
      </c>
      <c r="AN25" s="4">
        <v>800</v>
      </c>
      <c r="AQ25" s="1">
        <f t="shared" si="0"/>
        <v>0</v>
      </c>
    </row>
    <row r="26" spans="1:43" x14ac:dyDescent="0.3">
      <c r="A26" s="1">
        <v>24</v>
      </c>
      <c r="B26" s="1" t="s">
        <v>14</v>
      </c>
      <c r="C26" s="1">
        <v>1</v>
      </c>
      <c r="Q26" s="1">
        <v>900</v>
      </c>
      <c r="R26" s="1" t="s">
        <v>22</v>
      </c>
      <c r="T26" s="4">
        <v>700</v>
      </c>
      <c r="U26" s="4" t="s">
        <v>24</v>
      </c>
      <c r="V26" s="5" t="s">
        <v>28</v>
      </c>
      <c r="X26" s="4">
        <v>600</v>
      </c>
      <c r="Y26" s="4" t="s">
        <v>24</v>
      </c>
      <c r="Z26" s="5" t="s">
        <v>28</v>
      </c>
      <c r="AB26" s="4">
        <v>800</v>
      </c>
      <c r="AC26" s="4" t="s">
        <v>24</v>
      </c>
      <c r="AD26" s="5" t="s">
        <v>30</v>
      </c>
      <c r="AF26" s="4">
        <v>500</v>
      </c>
      <c r="AJ26" s="4">
        <v>600</v>
      </c>
      <c r="AL26" s="5" t="s">
        <v>32</v>
      </c>
      <c r="AN26" s="4">
        <v>500</v>
      </c>
      <c r="AQ26" s="1">
        <f t="shared" si="0"/>
        <v>0</v>
      </c>
    </row>
    <row r="27" spans="1:43" x14ac:dyDescent="0.3">
      <c r="A27" s="1">
        <v>25</v>
      </c>
      <c r="B27" s="1" t="s">
        <v>15</v>
      </c>
      <c r="C27" s="1">
        <v>1</v>
      </c>
      <c r="Q27" s="1">
        <v>600</v>
      </c>
      <c r="R27" s="1" t="s">
        <v>22</v>
      </c>
      <c r="T27" s="4">
        <v>600</v>
      </c>
      <c r="U27" s="4" t="s">
        <v>24</v>
      </c>
      <c r="V27" s="5" t="s">
        <v>28</v>
      </c>
      <c r="X27" s="4">
        <v>200</v>
      </c>
      <c r="Y27" s="4" t="s">
        <v>25</v>
      </c>
      <c r="AB27" s="4">
        <v>100</v>
      </c>
      <c r="AC27" s="4" t="s">
        <v>25</v>
      </c>
      <c r="AF27" s="4">
        <v>700</v>
      </c>
      <c r="AH27" s="5" t="s">
        <v>32</v>
      </c>
      <c r="AJ27" s="4">
        <v>300</v>
      </c>
      <c r="AN27" s="4">
        <v>700</v>
      </c>
      <c r="AP27" s="5" t="s">
        <v>32</v>
      </c>
      <c r="AQ27" s="1">
        <f t="shared" si="0"/>
        <v>0</v>
      </c>
    </row>
    <row r="28" spans="1:43" x14ac:dyDescent="0.3">
      <c r="A28" s="1">
        <v>26</v>
      </c>
      <c r="B28" s="1" t="s">
        <v>15</v>
      </c>
      <c r="C28" s="1">
        <v>2</v>
      </c>
      <c r="D28" s="9" t="s">
        <v>21</v>
      </c>
      <c r="M28" s="9" t="s">
        <v>21</v>
      </c>
      <c r="Q28" s="1">
        <v>1200</v>
      </c>
      <c r="R28" s="1" t="s">
        <v>22</v>
      </c>
      <c r="T28" s="4">
        <v>1000</v>
      </c>
      <c r="U28" s="4" t="s">
        <v>24</v>
      </c>
      <c r="V28" s="5" t="s">
        <v>28</v>
      </c>
      <c r="W28" s="9" t="s">
        <v>21</v>
      </c>
      <c r="X28" s="4">
        <v>1200</v>
      </c>
      <c r="Y28" s="4" t="s">
        <v>24</v>
      </c>
      <c r="Z28" s="5" t="s">
        <v>28</v>
      </c>
      <c r="AB28" s="4">
        <v>1500</v>
      </c>
      <c r="AC28" s="4" t="s">
        <v>24</v>
      </c>
      <c r="AD28" s="5" t="s">
        <v>30</v>
      </c>
      <c r="AF28" s="4">
        <v>500</v>
      </c>
      <c r="AJ28" s="4">
        <v>1100</v>
      </c>
      <c r="AL28" s="5" t="s">
        <v>32</v>
      </c>
      <c r="AN28" s="4">
        <v>500</v>
      </c>
      <c r="AQ28" s="1">
        <f t="shared" si="0"/>
        <v>3</v>
      </c>
    </row>
    <row r="29" spans="1:43" x14ac:dyDescent="0.3">
      <c r="A29" s="1">
        <v>27</v>
      </c>
      <c r="B29" s="1" t="s">
        <v>15</v>
      </c>
      <c r="C29" s="1">
        <v>3</v>
      </c>
      <c r="Q29" s="1">
        <v>600</v>
      </c>
      <c r="R29" s="1" t="s">
        <v>22</v>
      </c>
      <c r="T29" s="4">
        <v>600</v>
      </c>
      <c r="U29" s="4" t="s">
        <v>24</v>
      </c>
      <c r="V29" s="5" t="s">
        <v>28</v>
      </c>
      <c r="X29" s="4">
        <v>600</v>
      </c>
      <c r="Y29" s="4" t="s">
        <v>24</v>
      </c>
      <c r="Z29" s="5" t="s">
        <v>28</v>
      </c>
      <c r="AB29" s="4">
        <v>600</v>
      </c>
      <c r="AC29" s="4" t="s">
        <v>24</v>
      </c>
      <c r="AD29" s="5" t="s">
        <v>30</v>
      </c>
      <c r="AF29" s="4">
        <v>700</v>
      </c>
      <c r="AH29" s="5" t="s">
        <v>32</v>
      </c>
      <c r="AJ29" s="4">
        <v>600</v>
      </c>
      <c r="AL29" s="5" t="s">
        <v>32</v>
      </c>
      <c r="AN29" s="4">
        <v>700</v>
      </c>
      <c r="AP29" s="5" t="s">
        <v>32</v>
      </c>
      <c r="AQ29" s="1">
        <f t="shared" si="0"/>
        <v>0</v>
      </c>
    </row>
    <row r="30" spans="1:43" x14ac:dyDescent="0.3">
      <c r="A30" s="1">
        <v>28</v>
      </c>
      <c r="B30" s="1" t="s">
        <v>15</v>
      </c>
      <c r="C30" s="1">
        <v>4</v>
      </c>
      <c r="G30" s="9" t="s">
        <v>21</v>
      </c>
      <c r="M30" s="9" t="s">
        <v>21</v>
      </c>
      <c r="Q30" s="1">
        <v>1300</v>
      </c>
      <c r="R30" s="1" t="s">
        <v>22</v>
      </c>
      <c r="T30" s="4">
        <v>1300</v>
      </c>
      <c r="U30" s="4" t="s">
        <v>24</v>
      </c>
      <c r="V30" s="5" t="s">
        <v>28</v>
      </c>
      <c r="X30" s="4">
        <v>1250</v>
      </c>
      <c r="Y30" s="4" t="s">
        <v>24</v>
      </c>
      <c r="Z30" s="5" t="s">
        <v>28</v>
      </c>
      <c r="AB30" s="4">
        <v>1300</v>
      </c>
      <c r="AC30" s="4" t="s">
        <v>24</v>
      </c>
      <c r="AD30" s="5" t="s">
        <v>30</v>
      </c>
      <c r="AF30" s="4">
        <v>1200</v>
      </c>
      <c r="AJ30" s="4">
        <v>1300</v>
      </c>
      <c r="AL30" s="5" t="s">
        <v>32</v>
      </c>
      <c r="AN30" s="4">
        <v>1200</v>
      </c>
      <c r="AQ30" s="1">
        <f t="shared" si="0"/>
        <v>2</v>
      </c>
    </row>
    <row r="31" spans="1:43" x14ac:dyDescent="0.3">
      <c r="A31" s="1">
        <v>29</v>
      </c>
      <c r="B31" s="1" t="s">
        <v>15</v>
      </c>
      <c r="C31" s="1">
        <v>5</v>
      </c>
      <c r="Q31" s="1">
        <v>1000</v>
      </c>
      <c r="R31" s="1" t="s">
        <v>22</v>
      </c>
      <c r="T31" s="4">
        <v>900</v>
      </c>
      <c r="U31" s="4" t="s">
        <v>24</v>
      </c>
      <c r="V31" s="5" t="s">
        <v>28</v>
      </c>
      <c r="X31" s="4">
        <v>1200</v>
      </c>
      <c r="Y31" s="4" t="s">
        <v>24</v>
      </c>
      <c r="Z31" s="5" t="s">
        <v>28</v>
      </c>
      <c r="AB31" s="4">
        <v>1000</v>
      </c>
      <c r="AC31" s="4" t="s">
        <v>24</v>
      </c>
      <c r="AD31" s="5" t="s">
        <v>30</v>
      </c>
      <c r="AE31" s="9" t="s">
        <v>21</v>
      </c>
      <c r="AF31" s="4">
        <v>1200</v>
      </c>
      <c r="AH31" s="5" t="s">
        <v>32</v>
      </c>
      <c r="AJ31" s="4">
        <v>1100</v>
      </c>
      <c r="AL31" s="5" t="s">
        <v>32</v>
      </c>
      <c r="AN31" s="4">
        <v>1200</v>
      </c>
      <c r="AP31" s="5" t="s">
        <v>32</v>
      </c>
      <c r="AQ31" s="1">
        <f t="shared" si="0"/>
        <v>1</v>
      </c>
    </row>
    <row r="32" spans="1:43" x14ac:dyDescent="0.3">
      <c r="A32" s="1">
        <v>30</v>
      </c>
      <c r="B32" s="1" t="s">
        <v>16</v>
      </c>
      <c r="C32" s="1">
        <v>1</v>
      </c>
      <c r="D32" s="9" t="s">
        <v>21</v>
      </c>
      <c r="Q32" s="1">
        <v>700</v>
      </c>
      <c r="R32" s="1" t="s">
        <v>22</v>
      </c>
      <c r="S32" s="9" t="s">
        <v>21</v>
      </c>
      <c r="T32" s="4">
        <v>900</v>
      </c>
      <c r="U32" s="4" t="s">
        <v>24</v>
      </c>
      <c r="V32" s="5" t="s">
        <v>28</v>
      </c>
      <c r="X32" s="4">
        <v>1000</v>
      </c>
      <c r="Y32" s="4" t="s">
        <v>24</v>
      </c>
      <c r="Z32" s="5" t="s">
        <v>28</v>
      </c>
      <c r="AB32" s="4">
        <v>500</v>
      </c>
      <c r="AC32" s="4" t="s">
        <v>25</v>
      </c>
      <c r="AF32" s="4">
        <v>500</v>
      </c>
      <c r="AI32" s="9" t="s">
        <v>21</v>
      </c>
      <c r="AJ32" s="4">
        <v>700</v>
      </c>
      <c r="AL32" s="5" t="s">
        <v>32</v>
      </c>
      <c r="AN32" s="4">
        <v>500</v>
      </c>
      <c r="AQ32" s="1">
        <f t="shared" si="0"/>
        <v>2</v>
      </c>
    </row>
    <row r="33" spans="1:43" x14ac:dyDescent="0.3">
      <c r="A33" s="1">
        <v>31</v>
      </c>
      <c r="B33" s="1" t="s">
        <v>16</v>
      </c>
      <c r="C33" s="1">
        <v>2</v>
      </c>
      <c r="D33" s="9" t="s">
        <v>21</v>
      </c>
      <c r="M33" s="9" t="s">
        <v>21</v>
      </c>
      <c r="Q33" s="1">
        <v>1300</v>
      </c>
      <c r="R33" s="1" t="s">
        <v>22</v>
      </c>
      <c r="T33" s="4">
        <v>1100</v>
      </c>
      <c r="U33" s="4" t="s">
        <v>24</v>
      </c>
      <c r="V33" s="5" t="s">
        <v>28</v>
      </c>
      <c r="X33" s="4">
        <v>1100</v>
      </c>
      <c r="Y33" s="4" t="s">
        <v>24</v>
      </c>
      <c r="Z33" s="5" t="s">
        <v>28</v>
      </c>
      <c r="AB33" s="4">
        <v>1500</v>
      </c>
      <c r="AC33" s="4" t="s">
        <v>24</v>
      </c>
      <c r="AD33" s="5" t="s">
        <v>30</v>
      </c>
      <c r="AF33" s="4">
        <v>900</v>
      </c>
      <c r="AJ33" s="4">
        <v>1200</v>
      </c>
      <c r="AL33" s="5" t="s">
        <v>32</v>
      </c>
      <c r="AN33" s="4">
        <v>900</v>
      </c>
      <c r="AQ33" s="1">
        <f t="shared" si="0"/>
        <v>2</v>
      </c>
    </row>
    <row r="34" spans="1:43" x14ac:dyDescent="0.3">
      <c r="A34" s="1">
        <v>32</v>
      </c>
      <c r="B34" s="1" t="s">
        <v>16</v>
      </c>
      <c r="C34" s="1">
        <v>3</v>
      </c>
      <c r="Q34" s="1">
        <v>800</v>
      </c>
      <c r="R34" s="1" t="s">
        <v>22</v>
      </c>
      <c r="T34" s="4">
        <v>900</v>
      </c>
      <c r="U34" s="4" t="s">
        <v>24</v>
      </c>
      <c r="V34" s="5" t="s">
        <v>28</v>
      </c>
      <c r="X34" s="4">
        <v>900</v>
      </c>
      <c r="Y34" s="4" t="s">
        <v>24</v>
      </c>
      <c r="Z34" s="5" t="s">
        <v>28</v>
      </c>
      <c r="AB34" s="4">
        <v>900</v>
      </c>
      <c r="AC34" s="4" t="s">
        <v>24</v>
      </c>
      <c r="AD34" s="5" t="s">
        <v>30</v>
      </c>
      <c r="AF34" s="4">
        <v>1000</v>
      </c>
      <c r="AH34" s="5" t="s">
        <v>32</v>
      </c>
      <c r="AJ34" s="4">
        <v>900</v>
      </c>
      <c r="AL34" s="5" t="s">
        <v>32</v>
      </c>
      <c r="AN34" s="4">
        <v>1000</v>
      </c>
      <c r="AP34" s="5" t="s">
        <v>32</v>
      </c>
      <c r="AQ34" s="1">
        <f t="shared" si="0"/>
        <v>0</v>
      </c>
    </row>
    <row r="35" spans="1:43" x14ac:dyDescent="0.3">
      <c r="A35" s="1">
        <v>33</v>
      </c>
      <c r="B35" s="1" t="s">
        <v>16</v>
      </c>
      <c r="C35" s="1">
        <v>4</v>
      </c>
      <c r="Q35" s="1">
        <v>500</v>
      </c>
      <c r="R35" s="1" t="s">
        <v>22</v>
      </c>
      <c r="T35" s="4">
        <v>600</v>
      </c>
      <c r="U35" s="4" t="s">
        <v>24</v>
      </c>
      <c r="V35" s="5" t="s">
        <v>33</v>
      </c>
      <c r="X35" s="4">
        <v>700</v>
      </c>
      <c r="Y35" s="4" t="s">
        <v>24</v>
      </c>
      <c r="Z35" s="5" t="s">
        <v>33</v>
      </c>
      <c r="AB35" s="4">
        <v>600</v>
      </c>
      <c r="AC35" s="4" t="s">
        <v>24</v>
      </c>
      <c r="AD35" s="5" t="s">
        <v>33</v>
      </c>
      <c r="AF35" s="4">
        <v>800</v>
      </c>
      <c r="AH35" s="5" t="s">
        <v>32</v>
      </c>
      <c r="AJ35" s="4">
        <v>700</v>
      </c>
      <c r="AL35" s="5" t="s">
        <v>32</v>
      </c>
      <c r="AN35" s="4">
        <v>800</v>
      </c>
      <c r="AP35" s="5" t="s">
        <v>32</v>
      </c>
      <c r="AQ35" s="1">
        <f t="shared" si="0"/>
        <v>0</v>
      </c>
    </row>
    <row r="36" spans="1:43" x14ac:dyDescent="0.3">
      <c r="A36" s="1">
        <v>34</v>
      </c>
      <c r="B36" s="1" t="s">
        <v>16</v>
      </c>
      <c r="C36" s="1">
        <v>5</v>
      </c>
      <c r="D36" s="9" t="s">
        <v>21</v>
      </c>
      <c r="Q36" s="1">
        <v>1000</v>
      </c>
      <c r="R36" s="1" t="s">
        <v>22</v>
      </c>
      <c r="T36" s="4">
        <v>1500</v>
      </c>
      <c r="U36" s="4" t="s">
        <v>24</v>
      </c>
      <c r="V36" s="5" t="s">
        <v>28</v>
      </c>
      <c r="X36" s="4">
        <v>1800</v>
      </c>
      <c r="Y36" s="4" t="s">
        <v>24</v>
      </c>
      <c r="Z36" s="5" t="s">
        <v>28</v>
      </c>
      <c r="AB36" s="4">
        <v>1500</v>
      </c>
      <c r="AC36" s="4" t="s">
        <v>24</v>
      </c>
      <c r="AD36" s="5" t="s">
        <v>30</v>
      </c>
      <c r="AE36" s="9" t="s">
        <v>21</v>
      </c>
      <c r="AF36" s="4">
        <v>2000</v>
      </c>
      <c r="AH36" s="5" t="s">
        <v>32</v>
      </c>
      <c r="AJ36" s="4">
        <v>1800</v>
      </c>
      <c r="AL36" s="5" t="s">
        <v>32</v>
      </c>
      <c r="AN36" s="4">
        <v>2000</v>
      </c>
      <c r="AP36" s="5" t="s">
        <v>32</v>
      </c>
      <c r="AQ36" s="1">
        <f t="shared" si="0"/>
        <v>2</v>
      </c>
    </row>
    <row r="37" spans="1:43" x14ac:dyDescent="0.3">
      <c r="A37" s="1">
        <v>35</v>
      </c>
      <c r="B37" s="1" t="s">
        <v>16</v>
      </c>
      <c r="C37" s="1">
        <v>6</v>
      </c>
      <c r="D37" s="9" t="s">
        <v>21</v>
      </c>
      <c r="M37" s="9" t="s">
        <v>21</v>
      </c>
      <c r="Q37" s="1">
        <v>1200</v>
      </c>
      <c r="R37" s="1" t="s">
        <v>22</v>
      </c>
      <c r="T37" s="4">
        <v>1300</v>
      </c>
      <c r="U37" s="4" t="s">
        <v>24</v>
      </c>
      <c r="V37" s="5" t="s">
        <v>28</v>
      </c>
      <c r="X37" s="4">
        <v>1200</v>
      </c>
      <c r="Y37" s="4" t="s">
        <v>24</v>
      </c>
      <c r="Z37" s="5" t="s">
        <v>28</v>
      </c>
      <c r="AB37" s="4">
        <v>1600</v>
      </c>
      <c r="AC37" s="4" t="s">
        <v>24</v>
      </c>
      <c r="AD37" s="5" t="s">
        <v>30</v>
      </c>
      <c r="AF37" s="4">
        <v>1100</v>
      </c>
      <c r="AJ37" s="4">
        <v>1300</v>
      </c>
      <c r="AL37" s="5" t="s">
        <v>32</v>
      </c>
      <c r="AN37" s="4">
        <v>1100</v>
      </c>
      <c r="AQ37" s="1">
        <f t="shared" si="0"/>
        <v>2</v>
      </c>
    </row>
    <row r="38" spans="1:43" x14ac:dyDescent="0.3">
      <c r="A38" s="1">
        <v>36</v>
      </c>
      <c r="B38" s="1" t="s">
        <v>16</v>
      </c>
      <c r="C38" s="1">
        <v>7</v>
      </c>
      <c r="D38" s="9" t="s">
        <v>21</v>
      </c>
      <c r="Q38" s="1">
        <v>1000</v>
      </c>
      <c r="R38" s="1" t="s">
        <v>22</v>
      </c>
      <c r="T38" s="4">
        <v>1100</v>
      </c>
      <c r="U38" s="4" t="s">
        <v>24</v>
      </c>
      <c r="V38" s="5" t="s">
        <v>28</v>
      </c>
      <c r="X38" s="4">
        <v>1000</v>
      </c>
      <c r="Y38" s="4" t="s">
        <v>24</v>
      </c>
      <c r="Z38" s="5" t="s">
        <v>28</v>
      </c>
      <c r="AB38" s="4">
        <v>1100</v>
      </c>
      <c r="AC38" s="4" t="s">
        <v>24</v>
      </c>
      <c r="AD38" s="5" t="s">
        <v>30</v>
      </c>
      <c r="AF38" s="4">
        <v>1000</v>
      </c>
      <c r="AH38" s="5" t="s">
        <v>32</v>
      </c>
      <c r="AI38" s="9" t="s">
        <v>21</v>
      </c>
      <c r="AJ38" s="4">
        <v>1000</v>
      </c>
      <c r="AL38" s="5" t="s">
        <v>32</v>
      </c>
      <c r="AN38" s="4">
        <v>1000</v>
      </c>
      <c r="AP38" s="5" t="s">
        <v>32</v>
      </c>
      <c r="AQ38" s="1">
        <f t="shared" si="0"/>
        <v>2</v>
      </c>
    </row>
    <row r="39" spans="1:43" x14ac:dyDescent="0.3">
      <c r="A39" s="1">
        <v>37</v>
      </c>
      <c r="B39" s="1" t="s">
        <v>16</v>
      </c>
      <c r="C39" s="1">
        <v>8</v>
      </c>
      <c r="G39" s="9" t="s">
        <v>21</v>
      </c>
      <c r="Q39" s="1">
        <v>800</v>
      </c>
      <c r="R39" s="1" t="s">
        <v>22</v>
      </c>
      <c r="T39" s="4">
        <v>900</v>
      </c>
      <c r="U39" s="4" t="s">
        <v>24</v>
      </c>
      <c r="V39" s="5" t="s">
        <v>28</v>
      </c>
      <c r="X39" s="4">
        <v>900</v>
      </c>
      <c r="Y39" s="4" t="s">
        <v>24</v>
      </c>
      <c r="Z39" s="5" t="s">
        <v>28</v>
      </c>
      <c r="AB39" s="4">
        <v>1500</v>
      </c>
      <c r="AC39" s="4" t="s">
        <v>24</v>
      </c>
      <c r="AD39" s="5" t="s">
        <v>30</v>
      </c>
      <c r="AF39" s="4">
        <v>1000</v>
      </c>
      <c r="AH39" s="5" t="s">
        <v>32</v>
      </c>
      <c r="AI39" s="9" t="s">
        <v>21</v>
      </c>
      <c r="AJ39" s="4">
        <v>1100</v>
      </c>
      <c r="AL39" s="5" t="s">
        <v>32</v>
      </c>
      <c r="AN39" s="4">
        <v>1000</v>
      </c>
      <c r="AP39" s="5" t="s">
        <v>32</v>
      </c>
      <c r="AQ39" s="1">
        <f t="shared" si="0"/>
        <v>2</v>
      </c>
    </row>
    <row r="40" spans="1:43" x14ac:dyDescent="0.3">
      <c r="A40" s="1">
        <v>38</v>
      </c>
      <c r="B40" s="1" t="s">
        <v>16</v>
      </c>
      <c r="C40" s="1">
        <v>9</v>
      </c>
      <c r="D40" s="9" t="s">
        <v>21</v>
      </c>
      <c r="Q40" s="1">
        <v>1500</v>
      </c>
      <c r="R40" s="1" t="s">
        <v>22</v>
      </c>
      <c r="T40" s="4">
        <v>1300</v>
      </c>
      <c r="U40" s="4" t="s">
        <v>24</v>
      </c>
      <c r="V40" s="5" t="s">
        <v>28</v>
      </c>
      <c r="X40" s="4">
        <v>1800</v>
      </c>
      <c r="Y40" s="4" t="s">
        <v>24</v>
      </c>
      <c r="Z40" s="5" t="s">
        <v>28</v>
      </c>
      <c r="AB40" s="4">
        <v>1300</v>
      </c>
      <c r="AC40" s="4" t="s">
        <v>24</v>
      </c>
      <c r="AD40" s="5" t="s">
        <v>30</v>
      </c>
      <c r="AF40" s="4">
        <v>1200</v>
      </c>
      <c r="AJ40" s="4">
        <v>1400</v>
      </c>
      <c r="AL40" s="5" t="s">
        <v>32</v>
      </c>
      <c r="AN40" s="4">
        <v>1200</v>
      </c>
      <c r="AQ40" s="1">
        <f t="shared" si="0"/>
        <v>1</v>
      </c>
    </row>
    <row r="41" spans="1:43" x14ac:dyDescent="0.3">
      <c r="A41" s="1">
        <v>39</v>
      </c>
      <c r="B41" s="1" t="s">
        <v>16</v>
      </c>
      <c r="C41" s="1">
        <v>10</v>
      </c>
      <c r="Q41" s="1">
        <v>1500</v>
      </c>
      <c r="R41" s="1" t="s">
        <v>22</v>
      </c>
      <c r="T41" s="4">
        <v>1300</v>
      </c>
      <c r="U41" s="4" t="s">
        <v>24</v>
      </c>
      <c r="V41" s="5" t="s">
        <v>28</v>
      </c>
      <c r="X41" s="4">
        <v>1500</v>
      </c>
      <c r="Y41" s="4" t="s">
        <v>24</v>
      </c>
      <c r="Z41" s="5" t="s">
        <v>28</v>
      </c>
      <c r="AB41" s="4">
        <v>1500</v>
      </c>
      <c r="AC41" s="4" t="s">
        <v>24</v>
      </c>
      <c r="AD41" s="5" t="s">
        <v>30</v>
      </c>
      <c r="AF41" s="4">
        <v>1400</v>
      </c>
      <c r="AH41" s="5" t="s">
        <v>32</v>
      </c>
      <c r="AJ41" s="4">
        <v>1500</v>
      </c>
      <c r="AL41" s="5" t="s">
        <v>32</v>
      </c>
      <c r="AN41" s="4">
        <v>1400</v>
      </c>
      <c r="AP41" s="5" t="s">
        <v>32</v>
      </c>
      <c r="AQ41" s="1">
        <f t="shared" si="0"/>
        <v>0</v>
      </c>
    </row>
    <row r="42" spans="1:43" x14ac:dyDescent="0.3">
      <c r="A42" s="1">
        <v>40</v>
      </c>
      <c r="B42" s="1" t="s">
        <v>16</v>
      </c>
      <c r="C42" s="1">
        <v>11</v>
      </c>
      <c r="D42" s="9" t="s">
        <v>21</v>
      </c>
      <c r="M42" s="9" t="s">
        <v>21</v>
      </c>
      <c r="Q42" s="1">
        <v>1100</v>
      </c>
      <c r="R42" s="1" t="s">
        <v>22</v>
      </c>
      <c r="T42" s="4">
        <v>1800</v>
      </c>
      <c r="U42" s="4" t="s">
        <v>24</v>
      </c>
      <c r="V42" s="5" t="s">
        <v>28</v>
      </c>
      <c r="W42" s="9" t="s">
        <v>21</v>
      </c>
      <c r="X42" s="4">
        <v>1800</v>
      </c>
      <c r="Y42" s="4" t="s">
        <v>24</v>
      </c>
      <c r="Z42" s="5" t="s">
        <v>28</v>
      </c>
      <c r="AB42" s="4">
        <v>1600</v>
      </c>
      <c r="AC42" s="4" t="s">
        <v>24</v>
      </c>
      <c r="AD42" s="5" t="s">
        <v>30</v>
      </c>
      <c r="AF42" s="4">
        <v>1000</v>
      </c>
      <c r="AJ42" s="4">
        <v>1500</v>
      </c>
      <c r="AL42" s="5" t="s">
        <v>32</v>
      </c>
      <c r="AN42" s="4">
        <v>1000</v>
      </c>
      <c r="AQ42" s="1">
        <f t="shared" si="0"/>
        <v>3</v>
      </c>
    </row>
    <row r="43" spans="1:43" x14ac:dyDescent="0.3">
      <c r="A43" s="1">
        <v>41</v>
      </c>
      <c r="B43" s="1" t="s">
        <v>16</v>
      </c>
      <c r="C43" s="1">
        <v>12</v>
      </c>
      <c r="G43" s="9" t="s">
        <v>21</v>
      </c>
      <c r="Q43" s="1">
        <v>400</v>
      </c>
      <c r="R43" s="1" t="s">
        <v>22</v>
      </c>
      <c r="T43" s="4">
        <v>400</v>
      </c>
      <c r="U43" s="4" t="s">
        <v>24</v>
      </c>
      <c r="V43" s="5" t="s">
        <v>33</v>
      </c>
      <c r="X43" s="4">
        <v>400</v>
      </c>
      <c r="Y43" s="4" t="s">
        <v>24</v>
      </c>
      <c r="Z43" s="5" t="s">
        <v>33</v>
      </c>
      <c r="AB43" s="4">
        <v>700</v>
      </c>
      <c r="AC43" s="4" t="s">
        <v>24</v>
      </c>
      <c r="AD43" s="5" t="s">
        <v>33</v>
      </c>
      <c r="AE43" s="9" t="s">
        <v>21</v>
      </c>
      <c r="AF43" s="4">
        <v>600</v>
      </c>
      <c r="AH43" s="5" t="s">
        <v>32</v>
      </c>
      <c r="AJ43" s="4">
        <v>600</v>
      </c>
      <c r="AL43" s="5" t="s">
        <v>32</v>
      </c>
      <c r="AN43" s="4">
        <v>600</v>
      </c>
      <c r="AP43" s="5" t="s">
        <v>32</v>
      </c>
      <c r="AQ43" s="1">
        <f t="shared" si="0"/>
        <v>2</v>
      </c>
    </row>
    <row r="44" spans="1:43" x14ac:dyDescent="0.3">
      <c r="A44" s="1">
        <v>42</v>
      </c>
      <c r="B44" s="1" t="s">
        <v>16</v>
      </c>
      <c r="C44" s="1">
        <v>13</v>
      </c>
      <c r="D44" s="9" t="s">
        <v>21</v>
      </c>
      <c r="M44" s="9" t="s">
        <v>21</v>
      </c>
      <c r="Q44" s="1">
        <v>600</v>
      </c>
      <c r="R44" s="1" t="s">
        <v>22</v>
      </c>
      <c r="T44" s="4">
        <v>900</v>
      </c>
      <c r="U44" s="4" t="s">
        <v>24</v>
      </c>
      <c r="V44" s="5" t="s">
        <v>28</v>
      </c>
      <c r="X44" s="4">
        <v>500</v>
      </c>
      <c r="Y44" s="4" t="s">
        <v>24</v>
      </c>
      <c r="Z44" s="5" t="s">
        <v>27</v>
      </c>
      <c r="AB44" s="4">
        <v>500</v>
      </c>
      <c r="AC44" s="4" t="s">
        <v>25</v>
      </c>
      <c r="AF44" s="4">
        <v>500</v>
      </c>
      <c r="AJ44" s="4">
        <v>500</v>
      </c>
      <c r="AN44" s="4">
        <v>500</v>
      </c>
      <c r="AQ44" s="1">
        <f t="shared" si="0"/>
        <v>2</v>
      </c>
    </row>
    <row r="45" spans="1:43" x14ac:dyDescent="0.3">
      <c r="A45" s="1">
        <v>43</v>
      </c>
      <c r="B45" s="1" t="s">
        <v>17</v>
      </c>
      <c r="C45" s="1">
        <v>1</v>
      </c>
      <c r="T45" s="4">
        <v>700</v>
      </c>
      <c r="U45" s="4" t="s">
        <v>24</v>
      </c>
      <c r="V45" s="5" t="s">
        <v>28</v>
      </c>
      <c r="X45" s="4">
        <v>300</v>
      </c>
      <c r="Y45" s="4" t="s">
        <v>24</v>
      </c>
      <c r="Z45" s="5" t="s">
        <v>27</v>
      </c>
      <c r="AB45" s="4">
        <v>200</v>
      </c>
      <c r="AC45" s="4" t="s">
        <v>25</v>
      </c>
      <c r="AF45" s="4">
        <v>600</v>
      </c>
      <c r="AJ45" s="4">
        <v>400</v>
      </c>
      <c r="AN45" s="4">
        <v>600</v>
      </c>
      <c r="AQ45" s="1">
        <f t="shared" si="0"/>
        <v>0</v>
      </c>
    </row>
  </sheetData>
  <mergeCells count="11">
    <mergeCell ref="AA1:AD1"/>
    <mergeCell ref="AE1:AH1"/>
    <mergeCell ref="AI1:AL1"/>
    <mergeCell ref="AM1:AP1"/>
    <mergeCell ref="J1:L1"/>
    <mergeCell ref="W1:Z1"/>
    <mergeCell ref="D1:F1"/>
    <mergeCell ref="G1:I1"/>
    <mergeCell ref="M1:O1"/>
    <mergeCell ref="P1:R1"/>
    <mergeCell ref="S1:V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1호선</vt:lpstr>
      <vt:lpstr>2호선</vt:lpstr>
    </vt:vector>
  </TitlesOfParts>
  <Company>대구도시철도공사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232_대구은행변전2</dc:creator>
  <cp:lastModifiedBy>232_대구은행변전2</cp:lastModifiedBy>
  <dcterms:created xsi:type="dcterms:W3CDTF">2026-10-06T12:03:43Z</dcterms:created>
  <dcterms:modified xsi:type="dcterms:W3CDTF">2026-10-12T07:49:36Z</dcterms:modified>
</cp:coreProperties>
</file>